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utnik" sheetId="1" r:id="rId4"/>
    <sheet state="visible" name="Apple Search Ads" sheetId="2" r:id="rId5"/>
    <sheet state="visible" name="Google Ads" sheetId="3" r:id="rId6"/>
    <sheet state="hidden" name="Harvest Google Ads" sheetId="4" r:id="rId7"/>
    <sheet state="hidden" name="олх Google Ads" sheetId="5" r:id="rId8"/>
    <sheet state="visible" name="Admitad" sheetId="6" r:id="rId9"/>
    <sheet state="visible" name="RTB House" sheetId="7" r:id="rId10"/>
    <sheet state="visible" name="Currency" sheetId="8" r:id="rId11"/>
    <sheet state="visible" name="YouTube Ads" sheetId="9" r:id="rId12"/>
    <sheet state="visible" name="AppsFlyer" sheetId="10" r:id="rId13"/>
    <sheet state="visible" name="Planfix" sheetId="11" r:id="rId14"/>
    <sheet state="visible" name="Meta Ads" sheetId="12" r:id="rId15"/>
    <sheet state="visible" name="TikTok" sheetId="13" r:id="rId16"/>
    <sheet state="visible" name="Yandex Direct" sheetId="14" r:id="rId17"/>
    <sheet state="visible" name="Google Play" sheetId="15" r:id="rId18"/>
    <sheet state="hidden" name="template" sheetId="16" r:id="rId19"/>
    <sheet state="visible" name="Google Analytics 4" sheetId="17" r:id="rId20"/>
    <sheet state="visible" name="Criteo" sheetId="18" r:id="rId21"/>
    <sheet state="hidden" name="Copy of Google Analytics 4" sheetId="19" r:id="rId22"/>
  </sheets>
  <definedNames/>
  <calcPr/>
</workbook>
</file>

<file path=xl/sharedStrings.xml><?xml version="1.0" encoding="utf-8"?>
<sst xmlns="http://schemas.openxmlformats.org/spreadsheetml/2006/main" count="728" uniqueCount="228">
  <si>
    <t>Parameter</t>
  </si>
  <si>
    <t>Value</t>
  </si>
  <si>
    <t>Source</t>
  </si>
  <si>
    <t>connector</t>
  </si>
  <si>
    <t>esputnik</t>
  </si>
  <si>
    <t>Hard coded, do not change</t>
  </si>
  <si>
    <t>netpeak_client</t>
  </si>
  <si>
    <t>Intertop</t>
  </si>
  <si>
    <t>Netpeak client name</t>
  </si>
  <si>
    <t>username</t>
  </si>
  <si>
    <t>cmo@netpeak.net</t>
  </si>
  <si>
    <t>eSputnik</t>
  </si>
  <si>
    <t>token</t>
  </si>
  <si>
    <t>p@ssw0rd</t>
  </si>
  <si>
    <t>project_id</t>
  </si>
  <si>
    <t>gtm-txdvwmd-ztyzm</t>
  </si>
  <si>
    <t>BigQuery</t>
  </si>
  <si>
    <t>dataset_id</t>
  </si>
  <si>
    <t>marketing_data</t>
  </si>
  <si>
    <t>table_id</t>
  </si>
  <si>
    <t>raw_esputnik</t>
  </si>
  <si>
    <t>dataset_location</t>
  </si>
  <si>
    <t>US</t>
  </si>
  <si>
    <t>Cloud Function URL:</t>
  </si>
  <si>
    <t>https://europe-central2-gtm-txdvwmd-ztyzm.cloudfunctions.net/python-connectors</t>
  </si>
  <si>
    <t>URL for Cloud Scheduler: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</si>
  <si>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</si>
  <si>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asa</t>
  </si>
  <si>
    <t>client_id</t>
  </si>
  <si>
    <t>SEARCHADS.3b60d7d4-3f90-4742</t>
  </si>
  <si>
    <t>ASA</t>
  </si>
  <si>
    <t>client_secret</t>
  </si>
  <si>
    <t>eyJhbGciOiJFUzI1NiIsImtpZCI6ImY3N</t>
  </si>
  <si>
    <t>org_id</t>
  </si>
  <si>
    <t>raw_asa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</si>
  <si>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</si>
  <si>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Comments</t>
  </si>
  <si>
    <t>google_ads</t>
  </si>
  <si>
    <t>Hard coded</t>
  </si>
  <si>
    <t>GSC Bulk Export Horizontals</t>
  </si>
  <si>
    <t>report</t>
  </si>
  <si>
    <t>geo</t>
  </si>
  <si>
    <t>Google Ads</t>
  </si>
  <si>
    <t>Available reports:
- keywords
- campaign_performance
- campaigns
- calls
- click_view
- search_term_view
- geo
- landing_page</t>
  </si>
  <si>
    <t>664061709692-ri1n4bkob1e3ova3n2skandt8k74tgn5.apps.googleusercontent.com</t>
  </si>
  <si>
    <t>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</t>
  </si>
  <si>
    <t>developer_token</t>
  </si>
  <si>
    <t>DQHDO2E52_XLeRT0XpF3_g</t>
  </si>
  <si>
    <t>customer_id</t>
  </si>
  <si>
    <t>login_customer_id</t>
  </si>
  <si>
    <t>refresh_token</t>
  </si>
  <si>
    <t>1//049AMpN88UcOsCgYIARAAGAQSNwF-L9Ir04deM5bSNIOV2HVwBEuhFRrjDhi58o6F4-4WEtO_qDZ4zuXUylIGXFma3pqnhLTUSyw</t>
  </si>
  <si>
    <t>gsc-bulk-export-horizontals</t>
  </si>
  <si>
    <t>raw_search_term_view</t>
  </si>
  <si>
    <t>EU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</si>
  <si>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</si>
  <si>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Harvest_test</t>
  </si>
  <si>
    <t>campaigns</t>
  </si>
  <si>
    <t>Available reports:
- keywords
- campaign_performance
- campaigns
- calls
- click_view</t>
  </si>
  <si>
    <t>512883037128-15idhmotsfuqr48plep7die3ge3e0i4g.apps.googleusercontent.com</t>
  </si>
  <si>
    <t>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</t>
  </si>
  <si>
    <t>1//041e0L9VpfmyaCgYIARAAGAQSNwF-L9IrklMBUaGrzLEzMuul7kH83e8dKuaMm_v0jMADOtgjMY80me8Aa5OJJJQXShHyQSFhiSw</t>
  </si>
  <si>
    <t>harvest-400801</t>
  </si>
  <si>
    <t>raw_gads_campaigns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</si>
  <si>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</si>
  <si>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test_olx</t>
  </si>
  <si>
    <t>148046735051-8p9esf3b5n9f6jesd89rs5klrvuha3m1.apps.googleusercontent.com</t>
  </si>
  <si>
    <t>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</t>
  </si>
  <si>
    <t>1//04enFZKqWWKj5CgYIARAAGAQSNwF-L9Ir8Gsncd2fmOeyaH_ytsdBvovdVtscZL9I496GiPBxTVjW14mR8GdawuKErS-4wD6kg2E</t>
  </si>
  <si>
    <t>olx_marketing_data</t>
  </si>
  <si>
    <t>raw_gads_campaigns_9058635643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</si>
  <si>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</si>
  <si>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admitad</t>
  </si>
  <si>
    <t>yODk0ZmQ1ZGE3NGNlNzFk==</t>
  </si>
  <si>
    <t>Admitad</t>
  </si>
  <si>
    <t>129dd2894fd5da7</t>
  </si>
  <si>
    <t>raw_admitad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</si>
  <si>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</si>
  <si>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rtb_house</t>
  </si>
  <si>
    <t>login</t>
  </si>
  <si>
    <t>admin@netpeak.net</t>
  </si>
  <si>
    <t>RTB House</t>
  </si>
  <si>
    <t>password</t>
  </si>
  <si>
    <t>starwars</t>
  </si>
  <si>
    <t>advertiser_name</t>
  </si>
  <si>
    <t>UA_Netpeak</t>
  </si>
  <si>
    <t>utc_offset_hours</t>
  </si>
  <si>
    <t>Client GA4 timezone (UTC + X)</t>
  </si>
  <si>
    <t>raw_rtb_house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</si>
  <si>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</si>
  <si>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currency</t>
  </si>
  <si>
    <t>Easyvending</t>
  </si>
  <si>
    <t>from_currency</t>
  </si>
  <si>
    <t>USD,EUR</t>
  </si>
  <si>
    <t>Currency</t>
  </si>
  <si>
    <t>to_currency</t>
  </si>
  <si>
    <t>UAH</t>
  </si>
  <si>
    <t>api_key</t>
  </si>
  <si>
    <t>0qKL715UNWpmbyTLtLlKnlT7UAnQL6aW</t>
  </si>
  <si>
    <t>apilayer.com</t>
  </si>
  <si>
    <t>easyvending-418607</t>
  </si>
  <si>
    <t>external_data_temp</t>
  </si>
  <si>
    <t>raw_currency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</si>
  <si>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</si>
  <si>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youtube_ads</t>
  </si>
  <si>
    <t>and40ld5r1k6jr.apps.googleusercontent.com</t>
  </si>
  <si>
    <t>YouTube Ads</t>
  </si>
  <si>
    <t>SPX-NQWeRFBg6i</t>
  </si>
  <si>
    <t>channel_id</t>
  </si>
  <si>
    <t>hWe-qR0QuhSwG0</t>
  </si>
  <si>
    <t>GAQSNwF-L9IrmMiKSsxX</t>
  </si>
  <si>
    <t>raw_youtube_ads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</si>
  <si>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</si>
  <si>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appsflyer</t>
  </si>
  <si>
    <t>Mechta</t>
  </si>
  <si>
    <t>report_name</t>
  </si>
  <si>
    <t>non_organic_installs</t>
  </si>
  <si>
    <t>AppsFlyer</t>
  </si>
  <si>
    <t>Available reports:
- non_organic_installs
- organic_installs
- non_organic_events
- organic_events
- postbacks</t>
  </si>
  <si>
    <t>eyJhbGciOiJ</t>
  </si>
  <si>
    <t>app_id</t>
  </si>
  <si>
    <t>kz.mechta</t>
  </si>
  <si>
    <t>mechta-market-too</t>
  </si>
  <si>
    <t>raw_af_android_non_organic_installs</t>
  </si>
  <si>
    <t>asia-south2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</si>
  <si>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</si>
  <si>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planfix</t>
  </si>
  <si>
    <t>Planfix</t>
  </si>
  <si>
    <t>Available reports:
- leads
- contacts
- non_organic_events
- organic_events
- postbacks</t>
  </si>
  <si>
    <t>eyJhbGciOiJBMjU2S1ciLCJj</t>
  </si>
  <si>
    <t>id125868</t>
  </si>
  <si>
    <t>raw_planfix_non_organic_installs</t>
  </si>
  <si>
    <t>dataset_location*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</si>
  <si>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</si>
  <si>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Notes</t>
  </si>
  <si>
    <t>meta_ads</t>
  </si>
  <si>
    <t>C4B</t>
  </si>
  <si>
    <t>access_token</t>
  </si>
  <si>
    <t>EAAUTizf8tZBEBO8xSeAoOm7FgHWCNgXTyQUhshxIogzCSKM7KYUrV28N9xm0oVZAofmWvgaeJNBKUFfuZCmI3L43x2aA6mSVKokx2j7xhBZBFk9uV55MeAAFtT7eZCvIfi8qBfO8TCZCFCCLJMZBpLq2iZAqdhOJJSMDwxA5ZBF1gRvJbRxfZAR25FyKhF6rjAQRZC9</t>
  </si>
  <si>
    <t>Meta Ads</t>
  </si>
  <si>
    <t>account_id</t>
  </si>
  <si>
    <t>1428863544244193</t>
  </si>
  <si>
    <t>app_secret</t>
  </si>
  <si>
    <t>4c1adc6edd6f8b4ef6c6bf209a44f56e</t>
  </si>
  <si>
    <t>country</t>
  </si>
  <si>
    <t>UA</t>
  </si>
  <si>
    <t>campaign_performance</t>
  </si>
  <si>
    <t>- ad_performance
- campaign_performance
- geo_campaign_performance</t>
  </si>
  <si>
    <t>carsfromwest-1684141040027</t>
  </si>
  <si>
    <t>Data_raw</t>
  </si>
  <si>
    <t>raw_facebook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</si>
  <si>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</si>
  <si>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tiktok</t>
  </si>
  <si>
    <t>advertiser_id</t>
  </si>
  <si>
    <t>TikTok</t>
  </si>
  <si>
    <t>ae1596ddcafaba2a</t>
  </si>
  <si>
    <t>raw_tiktok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</si>
  <si>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</si>
  <si>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yandex_direct</t>
  </si>
  <si>
    <t>AAAAjOczzAAp1_QAAAADsbTaV</t>
  </si>
  <si>
    <t>Yandex Direct</t>
  </si>
  <si>
    <t>client_login</t>
  </si>
  <si>
    <t>office-expertkz</t>
  </si>
  <si>
    <t>raw_yandex_direct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</si>
  <si>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</si>
  <si>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google_play</t>
  </si>
  <si>
    <t>source_project_id</t>
  </si>
  <si>
    <t>gtm-dsfsdf-sdf</t>
  </si>
  <si>
    <t>project_id of account with Google Play data in Cloud Storage</t>
  </si>
  <si>
    <t>bucket_id</t>
  </si>
  <si>
    <t>Cloud Storage</t>
  </si>
  <si>
    <t>package_name</t>
  </si>
  <si>
    <t>AppName</t>
  </si>
  <si>
    <t>installs</t>
  </si>
  <si>
    <t>Google Play</t>
  </si>
  <si>
    <t>Available reports:
- reviews
- installs
- ratings</t>
  </si>
  <si>
    <t>raw_google_play_installs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</si>
  <si>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</si>
  <si>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click_view</t>
  </si>
  <si>
    <t>1413m1.apps.googleusercontent.com</t>
  </si>
  <si>
    <t>PX-OaJQ25UTHQ-iaKQ</t>
  </si>
  <si>
    <t>F52_XLeRI0XpF3_g</t>
  </si>
  <si>
    <t>1//04enFZKKj5CgYIARAAGAQSNwF-L9Ir8Gsn</t>
  </si>
  <si>
    <t>raw_gads_click_view</t>
  </si>
  <si>
    <t>https://us-central1-gtm-txdvwmd-ztyzm.cloudfunctions.net/python-connectors</t>
  </si>
  <si>
    <t>google_analytics_4</t>
  </si>
  <si>
    <t>property_id</t>
  </si>
  <si>
    <t>Property ID</t>
  </si>
  <si>
    <t>dimensions</t>
  </si>
  <si>
    <t>date,defaultChannelGrouping,platform,eventName</t>
  </si>
  <si>
    <t>Dimensions (comma separated)</t>
  </si>
  <si>
    <t>GA4 list of metrics &amp; dimenstions</t>
  </si>
  <si>
    <t>metrics</t>
  </si>
  <si>
    <t>sessions,totalUsers,keyEvents,activeUsers</t>
  </si>
  <si>
    <t>Metrics (comma separated)</t>
  </si>
  <si>
    <t>selected_events</t>
  </si>
  <si>
    <t>GA4</t>
  </si>
  <si>
    <t>Optional. Format: page_view,screen_view</t>
  </si>
  <si>
    <t>selected_source_medium</t>
  </si>
  <si>
    <t>google / organic</t>
  </si>
  <si>
    <t>Optional. Format: google / organic,google / cpc,direct / none</t>
  </si>
  <si>
    <t>airbyte</t>
  </si>
  <si>
    <t>raw_ga4_report_fun</t>
  </si>
  <si>
    <t>Instructions on GA4 permissions.</t>
  </si>
  <si>
    <t>https://europe-central2-etl-netpeak.cloudfunctions.net/python-connectors-eu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</si>
  <si>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</si>
  <si>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criteo</t>
  </si>
  <si>
    <t>38851a315f294be6af28c6dab1181034</t>
  </si>
  <si>
    <t>Criteo</t>
  </si>
  <si>
    <t>mRdk6WbZvjxxniBWY9MpXaPYi8jEu97ZTYcy8FJ2QsIl</t>
  </si>
  <si>
    <t>EUR</t>
  </si>
  <si>
    <t>USD/EUR/other</t>
  </si>
  <si>
    <t>statistics</t>
  </si>
  <si>
    <t>Available reports:
- statistics
- transactions
- placement_report</t>
  </si>
  <si>
    <t>environment</t>
  </si>
  <si>
    <t>Web</t>
  </si>
  <si>
    <t>The environment is only available for 
 the placement report. The field can have the following values: Web, Android, iOS.</t>
  </si>
  <si>
    <t>raw_criteo_statistics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</si>
  <si>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</si>
  <si>
    <t>aquapolis</t>
  </si>
  <si>
    <t>date,sessionSourceMedium</t>
  </si>
  <si>
    <t>transactions,totalUsers,sessions,eventCount</t>
  </si>
  <si>
    <t>aquapolisua-209010</t>
  </si>
  <si>
    <t>raw_data</t>
  </si>
  <si>
    <t>ga4_report</t>
  </si>
  <si>
    <t>europe-central2</t>
  </si>
  <si>
    <t>https://europe-central2-aquapolisua-209010.cloudfunctions.net/python-connectors</t>
  </si>
  <si>
    <r>
      <rPr>
        <rFont val="Arial"/>
        <color theme="1"/>
      </rPr>
      <t xml:space="preserve">To get </t>
    </r>
    <r>
      <rPr>
        <rFont val="Arial"/>
        <b/>
        <color theme="1"/>
      </rPr>
      <t>data for specific dates</t>
    </r>
    <r>
      <rPr>
        <rFont val="Arial"/>
        <color theme="1"/>
      </rPr>
      <t>, add &amp;date_from=2024-09-25&amp;date_to=2024-09-30 to the URL, replacing the dates with your own.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</si>
</sst>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color rgb="FF000000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3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5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664061709692-ri1n4bkob1e3ova3n2skandt8k74tgn5.apps.googleusercontent.com" TargetMode="External"/><Relationship Id="rId2" Type="http://schemas.openxmlformats.org/officeDocument/2006/relationships/hyperlink" Target="https://europe-central2-gtm-txdvwmd-ztyzm.cloudfunctions.net/python-connector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512883037128-15idhmotsfuqr48plep7die3ge3e0i4g.apps.googleusercontent.com" TargetMode="External"/><Relationship Id="rId2" Type="http://schemas.openxmlformats.org/officeDocument/2006/relationships/hyperlink" Target="https://europe-central2-gtm-txdvwmd-ztyzm.cloudfunctions.net/python-connectors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1413m1.apps.googleusercontent.com/" TargetMode="External"/><Relationship Id="rId2" Type="http://schemas.openxmlformats.org/officeDocument/2006/relationships/hyperlink" Target="https://europe-central2-gtm-txdvwmd-ztyzm.cloudfunctions.net/python-connectors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pilayer.com" TargetMode="External"/><Relationship Id="rId2" Type="http://schemas.openxmlformats.org/officeDocument/2006/relationships/hyperlink" Target="https://europe-central2-gtm-txdvwmd-ztyzm.cloudfunctions.net/python-connectors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and40ld5r1k6jr.apps.googleusercontent.com" TargetMode="External"/><Relationship Id="rId2" Type="http://schemas.openxmlformats.org/officeDocument/2006/relationships/hyperlink" Target="https://europe-central2-gtm-txdvwmd-ztyzm.cloudfunctions.net/python-connectors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413m1.apps.googleusercontent.com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nalytics/devguides/reporting/data/v1/api-schema?hl=ru" TargetMode="External"/><Relationship Id="rId2" Type="http://schemas.openxmlformats.org/officeDocument/2006/relationships/hyperlink" Target="https://www.notion.so/netpeak-group/EN-How-to-set-up-GA4-API-data-import-to-BigQuery-1125c7cf24004573858c2ff84d123008" TargetMode="External"/><Relationship Id="rId3" Type="http://schemas.openxmlformats.org/officeDocument/2006/relationships/hyperlink" Target="https://europe-central2-etl-netpeak.cloudfunctions.net/python-connectors-eu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-central2-gtm-txdvwmd-ztyzm.cloudfunctions.net/python-connectors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nalytics/devguides/reporting/data/v1/api-schema?hl=ru" TargetMode="External"/><Relationship Id="rId2" Type="http://schemas.openxmlformats.org/officeDocument/2006/relationships/hyperlink" Target="https://www.notion.so/netpeak-group/EN-How-to-set-up-GA4-API-data-import-to-BigQuery-1125c7cf24004573858c2ff84d123008" TargetMode="External"/><Relationship Id="rId3" Type="http://schemas.openxmlformats.org/officeDocument/2006/relationships/hyperlink" Target="https://europe-central2-aquapolisua-209010.cloudfunctions.net/python-connectors" TargetMode="External"/><Relationship Id="rId4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11</v>
      </c>
    </row>
    <row r="6">
      <c r="A6" s="2" t="s">
        <v>14</v>
      </c>
      <c r="B6" s="3" t="s">
        <v>15</v>
      </c>
      <c r="C6" s="2" t="s">
        <v>16</v>
      </c>
    </row>
    <row r="7">
      <c r="A7" s="2" t="s">
        <v>17</v>
      </c>
      <c r="B7" s="3" t="s">
        <v>18</v>
      </c>
      <c r="C7" s="2" t="s">
        <v>16</v>
      </c>
    </row>
    <row r="8">
      <c r="A8" s="2" t="s">
        <v>19</v>
      </c>
      <c r="B8" s="3" t="s">
        <v>20</v>
      </c>
      <c r="C8" s="2" t="s">
        <v>16</v>
      </c>
    </row>
    <row r="9">
      <c r="A9" s="2" t="s">
        <v>21</v>
      </c>
      <c r="B9" s="3" t="s">
        <v>22</v>
      </c>
      <c r="C9" s="2" t="s">
        <v>16</v>
      </c>
    </row>
    <row r="11">
      <c r="A11" s="1" t="s">
        <v>23</v>
      </c>
      <c r="B11" s="4" t="s">
        <v>24</v>
      </c>
    </row>
    <row r="12">
      <c r="A12" s="2"/>
    </row>
    <row r="13">
      <c r="A13" s="1" t="s">
        <v>25</v>
      </c>
    </row>
    <row r="14">
      <c r="A14" s="5" t="str">
        <f>B11&amp;"?connector=esputnik&amp;netpeak_client="&amp;B3&amp;"&amp;username="&amp;B4&amp;"&amp;token="&amp;B5&amp;"&amp;project_id="&amp;B6&amp;"&amp;dataset_id="&amp;B7&amp;"&amp;table_id="&amp;B8&amp;"dataset_location="&amp;B9</f>
        <v>https://europe-central2-gtm-txdvwmd-ztyzm.cloudfunctions.net/python-connectors?connector=esputnik&amp;netpeak_client=Intertop&amp;username=cmo@netpeak.net&amp;token=p@ssw0rd&amp;project_id=gtm-txdvwmd-ztyzm&amp;dataset_id=marketing_data&amp;table_id=raw_esputnikdataset_location=US</v>
      </c>
      <c r="C14" s="6" t="s">
        <v>26</v>
      </c>
    </row>
    <row r="15" ht="62.25" customHeight="1"/>
  </sheetData>
  <mergeCells count="2">
    <mergeCell ref="A14:B15"/>
    <mergeCell ref="C14:C15"/>
  </mergeCells>
  <hyperlinks>
    <hyperlink r:id="rId1" ref="B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27</v>
      </c>
      <c r="C2" s="2" t="s">
        <v>5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28</v>
      </c>
      <c r="B4" s="9" t="s">
        <v>29</v>
      </c>
      <c r="C4" s="2" t="s">
        <v>30</v>
      </c>
    </row>
    <row r="5">
      <c r="A5" s="2" t="s">
        <v>31</v>
      </c>
      <c r="B5" s="9" t="s">
        <v>32</v>
      </c>
      <c r="C5" s="2" t="s">
        <v>30</v>
      </c>
    </row>
    <row r="6">
      <c r="A6" s="2" t="s">
        <v>33</v>
      </c>
      <c r="B6" s="9">
        <v>1.2131313E7</v>
      </c>
      <c r="C6" s="2" t="s">
        <v>30</v>
      </c>
    </row>
    <row r="7">
      <c r="A7" s="2" t="s">
        <v>14</v>
      </c>
      <c r="B7" s="9" t="s">
        <v>15</v>
      </c>
      <c r="C7" s="2" t="s">
        <v>16</v>
      </c>
    </row>
    <row r="8">
      <c r="A8" s="2" t="s">
        <v>17</v>
      </c>
      <c r="B8" s="9" t="s">
        <v>18</v>
      </c>
      <c r="C8" s="2" t="s">
        <v>16</v>
      </c>
    </row>
    <row r="9">
      <c r="A9" s="2" t="s">
        <v>19</v>
      </c>
      <c r="B9" s="9" t="s">
        <v>34</v>
      </c>
      <c r="C9" s="2" t="s">
        <v>16</v>
      </c>
    </row>
    <row r="10">
      <c r="A10" s="2" t="s">
        <v>21</v>
      </c>
      <c r="B10" s="9" t="s">
        <v>22</v>
      </c>
      <c r="C10" s="2" t="s">
        <v>16</v>
      </c>
    </row>
    <row r="11">
      <c r="B11" s="10"/>
    </row>
    <row r="12">
      <c r="A12" s="1" t="s">
        <v>23</v>
      </c>
      <c r="B12" s="4" t="s">
        <v>24</v>
      </c>
    </row>
    <row r="13">
      <c r="A13" s="2"/>
      <c r="B13" s="11"/>
    </row>
    <row r="14">
      <c r="A14" s="1" t="s">
        <v>25</v>
      </c>
    </row>
    <row r="15">
      <c r="A15" s="5" t="str">
        <f>B12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</f>
        <v>https://europe-central2-gtm-txdvwmd-ztyzm.cloudfunctions.net/python-connectors?connector=asa&amp;netpeak_client=Intertop&amp;client_id=SEARCHADS.3b60d7d4-3f90-4742&amp;client_secret=eyJhbGciOiJFUzI1NiIsImtpZCI6ImY3N&amp;org_id=12131313&amp;project_id=gtm-txdvwmd-ztyzm&amp;dataset_id=marketing_data&amp;table_id=raw_asa&amp;dataset_location=US</v>
      </c>
      <c r="C15" s="6" t="s">
        <v>35</v>
      </c>
    </row>
    <row r="16" ht="49.5" customHeight="1"/>
  </sheetData>
  <mergeCells count="3">
    <mergeCell ref="A14:C14"/>
    <mergeCell ref="A15:B16"/>
    <mergeCell ref="C15:C16"/>
  </mergeCells>
  <hyperlinks>
    <hyperlink r:id="rId1" ref="B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  <col customWidth="1" min="4" max="4" width="40.25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37</v>
      </c>
      <c r="C2" s="2" t="s">
        <v>38</v>
      </c>
      <c r="D2" s="2"/>
    </row>
    <row r="3">
      <c r="A3" s="2" t="s">
        <v>6</v>
      </c>
      <c r="B3" s="9" t="s">
        <v>39</v>
      </c>
      <c r="C3" s="2" t="s">
        <v>8</v>
      </c>
      <c r="D3" s="2"/>
    </row>
    <row r="4">
      <c r="A4" s="2" t="s">
        <v>40</v>
      </c>
      <c r="B4" s="9" t="s">
        <v>41</v>
      </c>
      <c r="C4" s="2" t="s">
        <v>42</v>
      </c>
      <c r="D4" s="2" t="s">
        <v>43</v>
      </c>
    </row>
    <row r="5">
      <c r="A5" s="2" t="s">
        <v>28</v>
      </c>
      <c r="B5" s="12" t="s">
        <v>44</v>
      </c>
      <c r="C5" s="2" t="s">
        <v>42</v>
      </c>
      <c r="D5" s="2"/>
    </row>
    <row r="6">
      <c r="A6" s="2" t="s">
        <v>31</v>
      </c>
      <c r="B6" s="9" t="s">
        <v>45</v>
      </c>
      <c r="C6" s="2" t="s">
        <v>42</v>
      </c>
      <c r="D6" s="2"/>
    </row>
    <row r="7">
      <c r="A7" s="2" t="s">
        <v>46</v>
      </c>
      <c r="B7" s="9" t="s">
        <v>47</v>
      </c>
      <c r="C7" s="2" t="s">
        <v>42</v>
      </c>
      <c r="D7" s="2"/>
    </row>
    <row r="8">
      <c r="A8" s="2" t="s">
        <v>48</v>
      </c>
      <c r="B8" s="9">
        <v>6.685081527E9</v>
      </c>
      <c r="C8" s="2" t="s">
        <v>42</v>
      </c>
      <c r="D8" s="2"/>
    </row>
    <row r="9">
      <c r="A9" s="2" t="s">
        <v>49</v>
      </c>
      <c r="B9" s="9">
        <v>1.754107253E9</v>
      </c>
      <c r="C9" s="2" t="s">
        <v>42</v>
      </c>
      <c r="D9" s="2"/>
    </row>
    <row r="10">
      <c r="A10" s="2" t="s">
        <v>50</v>
      </c>
      <c r="B10" s="9" t="s">
        <v>51</v>
      </c>
      <c r="C10" s="2" t="s">
        <v>42</v>
      </c>
      <c r="D10" s="2"/>
    </row>
    <row r="11">
      <c r="A11" s="2" t="s">
        <v>14</v>
      </c>
      <c r="B11" s="9" t="s">
        <v>52</v>
      </c>
      <c r="C11" s="2" t="s">
        <v>16</v>
      </c>
      <c r="D11" s="2"/>
    </row>
    <row r="12">
      <c r="A12" s="2" t="s">
        <v>17</v>
      </c>
      <c r="B12" s="9" t="s">
        <v>18</v>
      </c>
      <c r="C12" s="2" t="s">
        <v>16</v>
      </c>
      <c r="D12" s="2"/>
    </row>
    <row r="13">
      <c r="A13" s="2" t="s">
        <v>19</v>
      </c>
      <c r="B13" s="9" t="s">
        <v>53</v>
      </c>
      <c r="C13" s="2" t="s">
        <v>16</v>
      </c>
      <c r="D13" s="2"/>
    </row>
    <row r="14">
      <c r="A14" s="2" t="s">
        <v>21</v>
      </c>
      <c r="B14" s="9" t="s">
        <v>54</v>
      </c>
      <c r="C14" s="2" t="s">
        <v>16</v>
      </c>
      <c r="D14" s="2"/>
    </row>
    <row r="16">
      <c r="A16" s="1" t="s">
        <v>23</v>
      </c>
      <c r="B16" s="4" t="s">
        <v>24</v>
      </c>
    </row>
    <row r="17">
      <c r="A17" s="1" t="s">
        <v>25</v>
      </c>
      <c r="D17" s="1"/>
    </row>
    <row r="18">
      <c r="A18" s="13" t="str">
        <f>B16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&amp;"&amp;"&amp;A12&amp;"="&amp;B12&amp;"&amp;"&amp;A13&amp;"="&amp;B13&amp;"&amp;"&amp;A14&amp;"="&amp;B14</f>
        <v>https://europe-central2-gtm-txdvwmd-ztyzm.cloudfunctions.net/python-connectors?connector=google_ads&amp;netpeak_client=GSC Bulk Export Horizontals&amp;report=geo&amp;client_id=664061709692-ri1n4bkob1e3ova3n2skandt8k74tgn5.apps.googleusercontent.com&amp;client_secret=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&amp;developer_token=DQHDO2E52_XLeRT0XpF3_g&amp;customer_id=6685081527&amp;login_customer_id=1754107253&amp;refresh_token=1//049AMpN88UcOsCgYIARAAGAQSNwF-L9Ir04deM5bSNIOV2HVwBEuhFRrjDhi58o6F4-4WEtO_qDZ4zuXUylIGXFma3pqnhLTUSyw&amp;project_id=gsc-bulk-export-horizontals&amp;dataset_id=marketing_data&amp;table_id=raw_search_term_view&amp;dataset_location=EU</v>
      </c>
      <c r="D18" s="6" t="s">
        <v>55</v>
      </c>
    </row>
    <row r="19" ht="83.25" customHeight="1"/>
  </sheetData>
  <mergeCells count="3">
    <mergeCell ref="A17:C17"/>
    <mergeCell ref="A18:C19"/>
    <mergeCell ref="D18:D19"/>
  </mergeCells>
  <hyperlinks>
    <hyperlink r:id="rId1" ref="B5"/>
    <hyperlink r:id="rId2" ref="B1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  <col customWidth="1" min="4" max="4" width="40.25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37</v>
      </c>
      <c r="C2" s="2" t="s">
        <v>38</v>
      </c>
      <c r="D2" s="2"/>
    </row>
    <row r="3">
      <c r="A3" s="2" t="s">
        <v>6</v>
      </c>
      <c r="B3" s="9" t="s">
        <v>56</v>
      </c>
      <c r="C3" s="2" t="s">
        <v>8</v>
      </c>
      <c r="D3" s="2"/>
    </row>
    <row r="4">
      <c r="A4" s="2" t="s">
        <v>40</v>
      </c>
      <c r="B4" s="9" t="s">
        <v>57</v>
      </c>
      <c r="C4" s="2" t="s">
        <v>42</v>
      </c>
      <c r="D4" s="2" t="s">
        <v>58</v>
      </c>
    </row>
    <row r="5">
      <c r="A5" s="2" t="s">
        <v>28</v>
      </c>
      <c r="B5" s="12" t="s">
        <v>59</v>
      </c>
      <c r="C5" s="2" t="s">
        <v>42</v>
      </c>
      <c r="D5" s="2"/>
    </row>
    <row r="6">
      <c r="A6" s="2" t="s">
        <v>31</v>
      </c>
      <c r="B6" s="9" t="s">
        <v>60</v>
      </c>
      <c r="C6" s="2" t="s">
        <v>42</v>
      </c>
      <c r="D6" s="2"/>
    </row>
    <row r="7">
      <c r="A7" s="2" t="s">
        <v>46</v>
      </c>
      <c r="B7" s="9" t="s">
        <v>47</v>
      </c>
      <c r="C7" s="2" t="s">
        <v>42</v>
      </c>
      <c r="D7" s="2"/>
    </row>
    <row r="8">
      <c r="A8" s="2" t="s">
        <v>48</v>
      </c>
      <c r="B8" s="9">
        <v>5.371365754E9</v>
      </c>
      <c r="C8" s="2" t="s">
        <v>42</v>
      </c>
      <c r="D8" s="2"/>
    </row>
    <row r="9">
      <c r="A9" s="2" t="s">
        <v>49</v>
      </c>
      <c r="B9" s="9">
        <v>1.754107253E9</v>
      </c>
      <c r="C9" s="2" t="s">
        <v>42</v>
      </c>
      <c r="D9" s="2"/>
    </row>
    <row r="10">
      <c r="A10" s="2" t="s">
        <v>50</v>
      </c>
      <c r="B10" s="9" t="s">
        <v>61</v>
      </c>
      <c r="C10" s="2" t="s">
        <v>42</v>
      </c>
      <c r="D10" s="2"/>
    </row>
    <row r="11">
      <c r="A11" s="2" t="s">
        <v>14</v>
      </c>
      <c r="B11" s="9" t="s">
        <v>62</v>
      </c>
      <c r="C11" s="2" t="s">
        <v>16</v>
      </c>
      <c r="D11" s="2"/>
    </row>
    <row r="12">
      <c r="A12" s="2" t="s">
        <v>17</v>
      </c>
      <c r="B12" s="9" t="s">
        <v>18</v>
      </c>
      <c r="C12" s="2" t="s">
        <v>16</v>
      </c>
      <c r="D12" s="2"/>
    </row>
    <row r="13">
      <c r="A13" s="2" t="s">
        <v>19</v>
      </c>
      <c r="B13" s="9" t="s">
        <v>63</v>
      </c>
      <c r="C13" s="2" t="s">
        <v>16</v>
      </c>
      <c r="D13" s="2"/>
    </row>
    <row r="14">
      <c r="A14" s="2" t="s">
        <v>21</v>
      </c>
      <c r="B14" s="9" t="s">
        <v>54</v>
      </c>
      <c r="C14" s="2" t="s">
        <v>16</v>
      </c>
      <c r="D14" s="2"/>
    </row>
    <row r="16">
      <c r="A16" s="1" t="s">
        <v>23</v>
      </c>
      <c r="B16" s="4" t="s">
        <v>24</v>
      </c>
    </row>
    <row r="17">
      <c r="A17" s="1" t="s">
        <v>25</v>
      </c>
      <c r="D17" s="1"/>
    </row>
    <row r="18">
      <c r="A18" s="5" t="str">
        <f>B16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&amp;"&amp;"&amp;A12&amp;"="&amp;B12&amp;"&amp;"&amp;A13&amp;"="&amp;B13&amp;"&amp;"&amp;A14&amp;"="&amp;B14</f>
        <v>https://europe-central2-gtm-txdvwmd-ztyzm.cloudfunctions.net/python-connectors?connector=google_ads&amp;netpeak_client=Harvest_test&amp;report=campaigns&amp;client_id=512883037128-15idhmotsfuqr48plep7die3ge3e0i4g.apps.googleusercontent.com&amp;client_secret=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&amp;developer_token=DQHDO2E52_XLeRT0XpF3_g&amp;customer_id=5371365754&amp;login_customer_id=1754107253&amp;refresh_token=1//041e0L9VpfmyaCgYIARAAGAQSNwF-L9IrklMBUaGrzLEzMuul7kH83e8dKuaMm_v0jMADOtgjMY80me8Aa5OJJJQXShHyQSFhiSw&amp;project_id=harvest-400801&amp;dataset_id=marketing_data&amp;table_id=raw_gads_campaigns&amp;dataset_location=EU</v>
      </c>
      <c r="D18" s="6" t="s">
        <v>64</v>
      </c>
    </row>
    <row r="19" ht="49.5" customHeight="1"/>
  </sheetData>
  <mergeCells count="3">
    <mergeCell ref="A17:C17"/>
    <mergeCell ref="A18:C19"/>
    <mergeCell ref="D18:D19"/>
  </mergeCells>
  <hyperlinks>
    <hyperlink r:id="rId1" ref="B5"/>
    <hyperlink r:id="rId2" ref="B1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  <col customWidth="1" min="4" max="4" width="40.25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37</v>
      </c>
      <c r="C2" s="2" t="s">
        <v>38</v>
      </c>
      <c r="D2" s="2"/>
    </row>
    <row r="3">
      <c r="A3" s="2" t="s">
        <v>6</v>
      </c>
      <c r="B3" s="9" t="s">
        <v>65</v>
      </c>
      <c r="C3" s="2" t="s">
        <v>8</v>
      </c>
      <c r="D3" s="2"/>
    </row>
    <row r="4">
      <c r="A4" s="2" t="s">
        <v>40</v>
      </c>
      <c r="B4" s="9" t="s">
        <v>57</v>
      </c>
      <c r="C4" s="2" t="s">
        <v>42</v>
      </c>
      <c r="D4" s="2" t="s">
        <v>58</v>
      </c>
    </row>
    <row r="5">
      <c r="A5" s="2" t="s">
        <v>28</v>
      </c>
      <c r="B5" s="12" t="s">
        <v>66</v>
      </c>
      <c r="C5" s="2" t="s">
        <v>42</v>
      </c>
      <c r="D5" s="2"/>
    </row>
    <row r="6">
      <c r="A6" s="2" t="s">
        <v>31</v>
      </c>
      <c r="B6" s="9" t="s">
        <v>67</v>
      </c>
      <c r="C6" s="2" t="s">
        <v>42</v>
      </c>
      <c r="D6" s="2"/>
    </row>
    <row r="7">
      <c r="A7" s="2" t="s">
        <v>46</v>
      </c>
      <c r="B7" s="9" t="s">
        <v>47</v>
      </c>
      <c r="C7" s="2" t="s">
        <v>42</v>
      </c>
      <c r="D7" s="2"/>
    </row>
    <row r="8">
      <c r="A8" s="2" t="s">
        <v>48</v>
      </c>
      <c r="B8" s="9">
        <v>9.058635643E9</v>
      </c>
      <c r="C8" s="2" t="s">
        <v>42</v>
      </c>
      <c r="D8" s="2"/>
    </row>
    <row r="9">
      <c r="A9" s="2" t="s">
        <v>49</v>
      </c>
      <c r="B9" s="9">
        <v>1.754107253E9</v>
      </c>
      <c r="C9" s="2" t="s">
        <v>42</v>
      </c>
      <c r="D9" s="2"/>
    </row>
    <row r="10">
      <c r="A10" s="2" t="s">
        <v>50</v>
      </c>
      <c r="B10" s="9" t="s">
        <v>68</v>
      </c>
      <c r="C10" s="2" t="s">
        <v>42</v>
      </c>
      <c r="D10" s="2"/>
    </row>
    <row r="11">
      <c r="A11" s="2" t="s">
        <v>14</v>
      </c>
      <c r="B11" s="9" t="s">
        <v>15</v>
      </c>
      <c r="C11" s="2" t="s">
        <v>16</v>
      </c>
      <c r="D11" s="2"/>
    </row>
    <row r="12">
      <c r="A12" s="2" t="s">
        <v>17</v>
      </c>
      <c r="B12" s="9" t="s">
        <v>69</v>
      </c>
      <c r="C12" s="2" t="s">
        <v>16</v>
      </c>
      <c r="D12" s="2"/>
    </row>
    <row r="13">
      <c r="A13" s="2" t="s">
        <v>19</v>
      </c>
      <c r="B13" s="9" t="s">
        <v>70</v>
      </c>
      <c r="C13" s="2" t="s">
        <v>16</v>
      </c>
      <c r="D13" s="2"/>
    </row>
    <row r="14">
      <c r="A14" s="2" t="s">
        <v>21</v>
      </c>
      <c r="B14" s="9" t="s">
        <v>22</v>
      </c>
      <c r="C14" s="2" t="s">
        <v>16</v>
      </c>
      <c r="D14" s="2"/>
    </row>
    <row r="16">
      <c r="A16" s="1" t="s">
        <v>23</v>
      </c>
      <c r="B16" s="14" t="s">
        <v>24</v>
      </c>
    </row>
    <row r="17">
      <c r="A17" s="1" t="s">
        <v>25</v>
      </c>
      <c r="D17" s="1"/>
    </row>
    <row r="18">
      <c r="A18" s="5" t="str">
        <f>B16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&amp;"&amp;"&amp;A12&amp;"="&amp;B12&amp;"&amp;"&amp;A13&amp;"="&amp;B13&amp;"&amp;"&amp;A14&amp;"="&amp;B14</f>
        <v>https://europe-central2-gtm-txdvwmd-ztyzm.cloudfunctions.net/python-connectors?connector=google_ads&amp;netpeak_client=test_olx&amp;report=campaigns&amp;client_id=148046735051-8p9esf3b5n9f6jesd89rs5klrvuha3m1.apps.googleusercontent.com&amp;client_secret=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&amp;developer_token=DQHDO2E52_XLeRT0XpF3_g&amp;customer_id=9058635643&amp;login_customer_id=1754107253&amp;refresh_token=1//04enFZKqWWKj5CgYIARAAGAQSNwF-L9Ir8Gsncd2fmOeyaH_ytsdBvovdVtscZL9I496GiPBxTVjW14mR8GdawuKErS-4wD6kg2E&amp;project_id=gtm-txdvwmd-ztyzm&amp;dataset_id=olx_marketing_data&amp;table_id=raw_gads_campaigns_9058635643&amp;dataset_location=US</v>
      </c>
      <c r="D18" s="6" t="s">
        <v>71</v>
      </c>
    </row>
    <row r="19" ht="49.5" customHeight="1"/>
  </sheetData>
  <mergeCells count="3">
    <mergeCell ref="A17:C17"/>
    <mergeCell ref="A18:C19"/>
    <mergeCell ref="D18:D19"/>
  </mergeCells>
  <hyperlinks>
    <hyperlink r:id="rId1" ref="B5"/>
    <hyperlink r:id="rId2" ref="B1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72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12</v>
      </c>
      <c r="B4" s="9" t="s">
        <v>73</v>
      </c>
      <c r="C4" s="2" t="s">
        <v>74</v>
      </c>
    </row>
    <row r="5">
      <c r="A5" s="2" t="s">
        <v>28</v>
      </c>
      <c r="B5" s="9" t="s">
        <v>75</v>
      </c>
      <c r="C5" s="2" t="s">
        <v>74</v>
      </c>
    </row>
    <row r="6">
      <c r="A6" s="2" t="s">
        <v>31</v>
      </c>
      <c r="B6" s="9" t="s">
        <v>75</v>
      </c>
      <c r="C6" s="2" t="s">
        <v>74</v>
      </c>
    </row>
    <row r="7">
      <c r="A7" s="2" t="s">
        <v>48</v>
      </c>
      <c r="B7" s="9">
        <v>123123.0</v>
      </c>
      <c r="C7" s="2" t="s">
        <v>74</v>
      </c>
    </row>
    <row r="8">
      <c r="A8" s="2" t="s">
        <v>14</v>
      </c>
      <c r="B8" s="9" t="s">
        <v>15</v>
      </c>
      <c r="C8" s="2" t="s">
        <v>16</v>
      </c>
    </row>
    <row r="9">
      <c r="A9" s="2" t="s">
        <v>17</v>
      </c>
      <c r="B9" s="9" t="s">
        <v>18</v>
      </c>
      <c r="C9" s="2" t="s">
        <v>16</v>
      </c>
    </row>
    <row r="10">
      <c r="A10" s="2" t="s">
        <v>19</v>
      </c>
      <c r="B10" s="9" t="s">
        <v>76</v>
      </c>
      <c r="C10" s="2" t="s">
        <v>16</v>
      </c>
    </row>
    <row r="11">
      <c r="A11" s="2" t="s">
        <v>21</v>
      </c>
      <c r="B11" s="9" t="s">
        <v>22</v>
      </c>
      <c r="C11" s="2" t="s">
        <v>16</v>
      </c>
    </row>
    <row r="13">
      <c r="A13" s="1" t="s">
        <v>23</v>
      </c>
      <c r="B13" s="4" t="s">
        <v>24</v>
      </c>
    </row>
    <row r="14">
      <c r="A14" s="1" t="s">
        <v>25</v>
      </c>
    </row>
    <row r="15">
      <c r="A15" s="5" t="str">
        <f>B13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</f>
        <v>https://europe-central2-gtm-txdvwmd-ztyzm.cloudfunctions.net/python-connectors?connector=admitad&amp;netpeak_client=Intertop&amp;token=yODk0ZmQ1ZGE3NGNlNzFk==&amp;client_id=129dd2894fd5da7&amp;client_secret=129dd2894fd5da7&amp;customer_id=123123&amp;project_id=gtm-txdvwmd-ztyzm&amp;dataset_id=marketing_data&amp;table_id=raw_admitad&amp;dataset_location=US</v>
      </c>
      <c r="C15" s="6" t="s">
        <v>77</v>
      </c>
    </row>
    <row r="16" ht="49.5" customHeight="1"/>
  </sheetData>
  <mergeCells count="3">
    <mergeCell ref="A14:C14"/>
    <mergeCell ref="A15:B16"/>
    <mergeCell ref="C15:C16"/>
  </mergeCells>
  <hyperlinks>
    <hyperlink r:id="rId1" ref="B1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78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79</v>
      </c>
      <c r="B4" s="9" t="s">
        <v>80</v>
      </c>
      <c r="C4" s="2" t="s">
        <v>81</v>
      </c>
    </row>
    <row r="5">
      <c r="A5" s="2" t="s">
        <v>82</v>
      </c>
      <c r="B5" s="9" t="s">
        <v>83</v>
      </c>
      <c r="C5" s="2" t="s">
        <v>81</v>
      </c>
    </row>
    <row r="6">
      <c r="A6" s="2" t="s">
        <v>84</v>
      </c>
      <c r="B6" s="9" t="s">
        <v>85</v>
      </c>
      <c r="C6" s="2" t="s">
        <v>81</v>
      </c>
    </row>
    <row r="7">
      <c r="A7" s="2" t="s">
        <v>86</v>
      </c>
      <c r="B7" s="9">
        <v>3.0</v>
      </c>
      <c r="C7" s="2" t="s">
        <v>87</v>
      </c>
    </row>
    <row r="8">
      <c r="A8" s="2" t="s">
        <v>14</v>
      </c>
      <c r="B8" s="9" t="s">
        <v>15</v>
      </c>
      <c r="C8" s="2" t="s">
        <v>16</v>
      </c>
    </row>
    <row r="9">
      <c r="A9" s="2" t="s">
        <v>17</v>
      </c>
      <c r="B9" s="9" t="s">
        <v>18</v>
      </c>
      <c r="C9" s="2" t="s">
        <v>16</v>
      </c>
    </row>
    <row r="10">
      <c r="A10" s="2" t="s">
        <v>19</v>
      </c>
      <c r="B10" s="9" t="s">
        <v>88</v>
      </c>
      <c r="C10" s="2" t="s">
        <v>16</v>
      </c>
    </row>
    <row r="11">
      <c r="A11" s="2" t="s">
        <v>21</v>
      </c>
      <c r="B11" s="9" t="s">
        <v>22</v>
      </c>
      <c r="C11" s="2" t="s">
        <v>16</v>
      </c>
    </row>
    <row r="13">
      <c r="A13" s="1" t="s">
        <v>23</v>
      </c>
      <c r="B13" s="4" t="s">
        <v>24</v>
      </c>
    </row>
    <row r="14">
      <c r="A14" s="1" t="s">
        <v>25</v>
      </c>
    </row>
    <row r="15">
      <c r="A15" s="5" t="str">
        <f>B13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</f>
        <v>https://europe-central2-gtm-txdvwmd-ztyzm.cloudfunctions.net/python-connectors?connector=rtb_house&amp;netpeak_client=Intertop&amp;login=admin@netpeak.net&amp;password=starwars&amp;advertiser_name=UA_Netpeak&amp;utc_offset_hours=3&amp;project_id=gtm-txdvwmd-ztyzm&amp;dataset_id=marketing_data&amp;table_id=raw_rtb_house&amp;dataset_location=US</v>
      </c>
      <c r="C15" s="6" t="s">
        <v>89</v>
      </c>
    </row>
    <row r="16" ht="49.5" customHeight="1"/>
  </sheetData>
  <mergeCells count="3">
    <mergeCell ref="A14:C14"/>
    <mergeCell ref="A15:B16"/>
    <mergeCell ref="C15:C16"/>
  </mergeCells>
  <hyperlinks>
    <hyperlink r:id="rId1" ref="B1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90</v>
      </c>
      <c r="C2" s="2" t="s">
        <v>38</v>
      </c>
    </row>
    <row r="3">
      <c r="A3" s="2" t="s">
        <v>6</v>
      </c>
      <c r="B3" s="9" t="s">
        <v>91</v>
      </c>
      <c r="C3" s="2" t="s">
        <v>8</v>
      </c>
    </row>
    <row r="4">
      <c r="A4" s="2" t="s">
        <v>92</v>
      </c>
      <c r="B4" s="9" t="s">
        <v>93</v>
      </c>
      <c r="C4" s="2" t="s">
        <v>94</v>
      </c>
    </row>
    <row r="5">
      <c r="A5" s="2" t="s">
        <v>95</v>
      </c>
      <c r="B5" s="9" t="s">
        <v>96</v>
      </c>
      <c r="C5" s="2" t="s">
        <v>94</v>
      </c>
    </row>
    <row r="6">
      <c r="A6" s="2" t="s">
        <v>97</v>
      </c>
      <c r="B6" s="9" t="s">
        <v>98</v>
      </c>
      <c r="C6" s="15" t="s">
        <v>99</v>
      </c>
    </row>
    <row r="7">
      <c r="A7" s="2" t="s">
        <v>14</v>
      </c>
      <c r="B7" s="9" t="s">
        <v>100</v>
      </c>
      <c r="C7" s="2" t="s">
        <v>16</v>
      </c>
    </row>
    <row r="8">
      <c r="A8" s="2" t="s">
        <v>17</v>
      </c>
      <c r="B8" s="9" t="s">
        <v>101</v>
      </c>
      <c r="C8" s="2" t="s">
        <v>16</v>
      </c>
    </row>
    <row r="9">
      <c r="A9" s="2" t="s">
        <v>19</v>
      </c>
      <c r="B9" s="9" t="s">
        <v>102</v>
      </c>
      <c r="C9" s="2" t="s">
        <v>16</v>
      </c>
    </row>
    <row r="10">
      <c r="A10" s="2" t="s">
        <v>21</v>
      </c>
      <c r="B10" s="9" t="s">
        <v>22</v>
      </c>
      <c r="C10" s="2" t="s">
        <v>16</v>
      </c>
    </row>
    <row r="12">
      <c r="A12" s="1" t="s">
        <v>23</v>
      </c>
      <c r="B12" s="4" t="s">
        <v>24</v>
      </c>
    </row>
    <row r="13">
      <c r="A13" s="1" t="s">
        <v>25</v>
      </c>
    </row>
    <row r="14">
      <c r="A14" s="5" t="str">
        <f>B12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</f>
        <v>https://europe-central2-gtm-txdvwmd-ztyzm.cloudfunctions.net/python-connectors?connector=currency&amp;netpeak_client=Easyvending&amp;from_currency=USD,EUR&amp;to_currency=UAH&amp;api_key=0qKL715UNWpmbyTLtLlKnlT7UAnQL6aW&amp;project_id=easyvending-418607&amp;dataset_id=external_data_temp&amp;table_id=raw_currency&amp;dataset_location=US</v>
      </c>
      <c r="C14" s="6" t="s">
        <v>103</v>
      </c>
    </row>
    <row r="15" ht="49.5" customHeight="1"/>
  </sheetData>
  <mergeCells count="3">
    <mergeCell ref="A13:C13"/>
    <mergeCell ref="A14:B15"/>
    <mergeCell ref="C14:C15"/>
  </mergeCells>
  <hyperlinks>
    <hyperlink r:id="rId1" ref="C6"/>
    <hyperlink r:id="rId2" ref="B1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104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28</v>
      </c>
      <c r="B4" s="16" t="s">
        <v>105</v>
      </c>
      <c r="C4" s="2" t="s">
        <v>106</v>
      </c>
    </row>
    <row r="5">
      <c r="A5" s="2" t="s">
        <v>31</v>
      </c>
      <c r="B5" s="9" t="s">
        <v>107</v>
      </c>
      <c r="C5" s="2" t="s">
        <v>106</v>
      </c>
    </row>
    <row r="6">
      <c r="A6" s="2" t="s">
        <v>108</v>
      </c>
      <c r="B6" s="9" t="s">
        <v>109</v>
      </c>
      <c r="C6" s="2" t="s">
        <v>106</v>
      </c>
    </row>
    <row r="7">
      <c r="A7" s="2" t="s">
        <v>50</v>
      </c>
      <c r="B7" s="9" t="s">
        <v>110</v>
      </c>
      <c r="C7" s="2" t="s">
        <v>106</v>
      </c>
    </row>
    <row r="8">
      <c r="A8" s="2" t="s">
        <v>14</v>
      </c>
      <c r="B8" s="9" t="s">
        <v>15</v>
      </c>
      <c r="C8" s="2" t="s">
        <v>16</v>
      </c>
    </row>
    <row r="9">
      <c r="A9" s="2" t="s">
        <v>17</v>
      </c>
      <c r="B9" s="9" t="s">
        <v>18</v>
      </c>
      <c r="C9" s="2" t="s">
        <v>16</v>
      </c>
    </row>
    <row r="10">
      <c r="A10" s="2" t="s">
        <v>19</v>
      </c>
      <c r="B10" s="9" t="s">
        <v>111</v>
      </c>
      <c r="C10" s="2" t="s">
        <v>16</v>
      </c>
    </row>
    <row r="11">
      <c r="A11" s="2" t="s">
        <v>21</v>
      </c>
      <c r="B11" s="9" t="s">
        <v>22</v>
      </c>
      <c r="C11" s="2" t="s">
        <v>16</v>
      </c>
    </row>
    <row r="13">
      <c r="A13" s="1" t="s">
        <v>23</v>
      </c>
      <c r="B13" s="4" t="s">
        <v>24</v>
      </c>
    </row>
    <row r="14">
      <c r="A14" s="1" t="s">
        <v>25</v>
      </c>
    </row>
    <row r="15">
      <c r="A15" s="5" t="str">
        <f>B13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</f>
        <v>https://europe-central2-gtm-txdvwmd-ztyzm.cloudfunctions.net/python-connectors?connector=youtube_ads&amp;netpeak_client=Intertop&amp;client_id=and40ld5r1k6jr.apps.googleusercontent.com&amp;client_secret=SPX-NQWeRFBg6i&amp;channel_id=hWe-qR0QuhSwG0&amp;refresh_token=GAQSNwF-L9IrmMiKSsxX&amp;project_id=gtm-txdvwmd-ztyzm&amp;dataset_id=marketing_data&amp;table_id=raw_youtube_ads&amp;dataset_location=US</v>
      </c>
      <c r="C15" s="6" t="s">
        <v>112</v>
      </c>
    </row>
    <row r="16" ht="49.5" customHeight="1"/>
  </sheetData>
  <mergeCells count="3">
    <mergeCell ref="A14:C14"/>
    <mergeCell ref="A15:B16"/>
    <mergeCell ref="C15:C16"/>
  </mergeCells>
  <hyperlinks>
    <hyperlink r:id="rId1" ref="B4"/>
    <hyperlink r:id="rId2" ref="B13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61.88"/>
    <col customWidth="1" min="3" max="4" width="30.63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113</v>
      </c>
      <c r="C2" s="2" t="s">
        <v>38</v>
      </c>
      <c r="D2" s="2"/>
    </row>
    <row r="3">
      <c r="A3" s="2" t="s">
        <v>6</v>
      </c>
      <c r="B3" s="9" t="s">
        <v>114</v>
      </c>
      <c r="C3" s="2" t="s">
        <v>8</v>
      </c>
      <c r="D3" s="2"/>
    </row>
    <row r="4">
      <c r="A4" s="2" t="s">
        <v>115</v>
      </c>
      <c r="B4" s="9" t="s">
        <v>116</v>
      </c>
      <c r="C4" s="2" t="s">
        <v>117</v>
      </c>
      <c r="D4" s="2" t="s">
        <v>118</v>
      </c>
    </row>
    <row r="5">
      <c r="A5" s="2" t="s">
        <v>97</v>
      </c>
      <c r="B5" s="9" t="s">
        <v>119</v>
      </c>
      <c r="C5" s="2" t="s">
        <v>117</v>
      </c>
      <c r="D5" s="2"/>
    </row>
    <row r="6">
      <c r="A6" s="2" t="s">
        <v>120</v>
      </c>
      <c r="B6" s="9" t="s">
        <v>121</v>
      </c>
      <c r="C6" s="2" t="s">
        <v>117</v>
      </c>
      <c r="D6" s="2"/>
    </row>
    <row r="7">
      <c r="A7" s="2" t="s">
        <v>14</v>
      </c>
      <c r="B7" s="9" t="s">
        <v>122</v>
      </c>
      <c r="C7" s="2" t="s">
        <v>16</v>
      </c>
      <c r="D7" s="2"/>
    </row>
    <row r="8">
      <c r="A8" s="2" t="s">
        <v>17</v>
      </c>
      <c r="B8" s="9" t="s">
        <v>18</v>
      </c>
      <c r="C8" s="2" t="s">
        <v>16</v>
      </c>
      <c r="D8" s="2"/>
    </row>
    <row r="9">
      <c r="A9" s="2" t="s">
        <v>19</v>
      </c>
      <c r="B9" s="9" t="s">
        <v>123</v>
      </c>
      <c r="C9" s="2" t="s">
        <v>16</v>
      </c>
      <c r="D9" s="2"/>
    </row>
    <row r="10">
      <c r="A10" s="2" t="s">
        <v>21</v>
      </c>
      <c r="B10" s="9" t="s">
        <v>124</v>
      </c>
      <c r="C10" s="2" t="s">
        <v>16</v>
      </c>
      <c r="D10" s="2"/>
    </row>
    <row r="12">
      <c r="A12" s="1" t="s">
        <v>23</v>
      </c>
      <c r="B12" s="4" t="s">
        <v>24</v>
      </c>
    </row>
    <row r="13">
      <c r="A13" s="1" t="s">
        <v>25</v>
      </c>
      <c r="D13" s="1"/>
    </row>
    <row r="14">
      <c r="A14" s="5" t="str">
        <f>B12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</f>
        <v>https://europe-central2-gtm-txdvwmd-ztyzm.cloudfunctions.net/python-connectors?connector=appsflyer&amp;netpeak_client=Mechta&amp;report_name=non_organic_installs&amp;api_key=eyJhbGciOiJ&amp;app_id=kz.mechta&amp;project_id=mechta-market-too&amp;dataset_id=marketing_data&amp;table_id=raw_af_android_non_organic_installs&amp;dataset_location=asia-south2</v>
      </c>
      <c r="D14" s="6" t="s">
        <v>125</v>
      </c>
    </row>
    <row r="15" ht="49.5" customHeight="1"/>
  </sheetData>
  <mergeCells count="3">
    <mergeCell ref="A13:C13"/>
    <mergeCell ref="A14:C15"/>
    <mergeCell ref="D14:D15"/>
  </mergeCells>
  <hyperlinks>
    <hyperlink r:id="rId1" ref="B1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4" width="30.63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126</v>
      </c>
      <c r="C2" s="2" t="s">
        <v>38</v>
      </c>
      <c r="D2" s="2"/>
    </row>
    <row r="3">
      <c r="A3" s="2" t="s">
        <v>6</v>
      </c>
      <c r="B3" s="9" t="s">
        <v>7</v>
      </c>
      <c r="C3" s="2" t="s">
        <v>8</v>
      </c>
      <c r="D3" s="2"/>
    </row>
    <row r="4">
      <c r="A4" s="2" t="s">
        <v>40</v>
      </c>
      <c r="B4" s="9" t="s">
        <v>116</v>
      </c>
      <c r="C4" s="2" t="s">
        <v>127</v>
      </c>
      <c r="D4" s="2" t="s">
        <v>128</v>
      </c>
    </row>
    <row r="5">
      <c r="A5" s="2" t="s">
        <v>97</v>
      </c>
      <c r="B5" s="9" t="s">
        <v>129</v>
      </c>
      <c r="C5" s="2" t="s">
        <v>127</v>
      </c>
      <c r="D5" s="2"/>
    </row>
    <row r="6">
      <c r="A6" s="2" t="s">
        <v>120</v>
      </c>
      <c r="B6" s="9" t="s">
        <v>130</v>
      </c>
      <c r="C6" s="2" t="s">
        <v>127</v>
      </c>
      <c r="D6" s="2"/>
    </row>
    <row r="7">
      <c r="A7" s="2" t="s">
        <v>14</v>
      </c>
      <c r="B7" s="9" t="s">
        <v>15</v>
      </c>
      <c r="C7" s="2" t="s">
        <v>16</v>
      </c>
      <c r="D7" s="2"/>
    </row>
    <row r="8">
      <c r="A8" s="2" t="s">
        <v>17</v>
      </c>
      <c r="B8" s="9" t="s">
        <v>18</v>
      </c>
      <c r="C8" s="2" t="s">
        <v>16</v>
      </c>
      <c r="D8" s="2"/>
    </row>
    <row r="9">
      <c r="A9" s="2" t="s">
        <v>19</v>
      </c>
      <c r="B9" s="9" t="s">
        <v>131</v>
      </c>
      <c r="C9" s="2" t="s">
        <v>16</v>
      </c>
      <c r="D9" s="2"/>
    </row>
    <row r="10">
      <c r="A10" s="2" t="s">
        <v>132</v>
      </c>
      <c r="B10" s="9" t="s">
        <v>22</v>
      </c>
      <c r="C10" s="2" t="s">
        <v>16</v>
      </c>
      <c r="D10" s="2"/>
    </row>
    <row r="12">
      <c r="A12" s="1" t="s">
        <v>23</v>
      </c>
      <c r="B12" s="4" t="s">
        <v>24</v>
      </c>
    </row>
    <row r="13">
      <c r="A13" s="1" t="s">
        <v>25</v>
      </c>
      <c r="D13" s="1"/>
    </row>
    <row r="14">
      <c r="A14" s="5" t="str">
        <f>B12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</f>
        <v>https://europe-central2-gtm-txdvwmd-ztyzm.cloudfunctions.net/python-connectors?connector=planfix&amp;netpeak_client=Intertop&amp;report=non_organic_installs&amp;api_key=eyJhbGciOiJBMjU2S1ciLCJj&amp;app_id=id125868&amp;project_id=gtm-txdvwmd-ztyzm&amp;dataset_id=marketing_data&amp;table_id=raw_planfix_non_organic_installs&amp;dataset_location*=US</v>
      </c>
      <c r="D14" s="6" t="s">
        <v>133</v>
      </c>
    </row>
    <row r="15" ht="49.5" customHeight="1"/>
  </sheetData>
  <mergeCells count="3">
    <mergeCell ref="A13:C13"/>
    <mergeCell ref="A14:C15"/>
    <mergeCell ref="D14:D15"/>
  </mergeCells>
  <hyperlinks>
    <hyperlink r:id="rId1" ref="B1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4" width="30.63"/>
  </cols>
  <sheetData>
    <row r="1">
      <c r="A1" s="1" t="s">
        <v>0</v>
      </c>
      <c r="B1" s="7" t="s">
        <v>1</v>
      </c>
      <c r="C1" s="1" t="s">
        <v>2</v>
      </c>
      <c r="D1" s="1" t="s">
        <v>134</v>
      </c>
    </row>
    <row r="2">
      <c r="A2" s="2" t="s">
        <v>3</v>
      </c>
      <c r="B2" s="8" t="s">
        <v>135</v>
      </c>
      <c r="C2" s="2" t="s">
        <v>38</v>
      </c>
      <c r="D2" s="2"/>
    </row>
    <row r="3">
      <c r="A3" s="2" t="s">
        <v>6</v>
      </c>
      <c r="B3" s="9" t="s">
        <v>136</v>
      </c>
      <c r="C3" s="2" t="s">
        <v>8</v>
      </c>
      <c r="D3" s="2"/>
    </row>
    <row r="4">
      <c r="A4" s="2" t="s">
        <v>137</v>
      </c>
      <c r="B4" s="9" t="s">
        <v>138</v>
      </c>
      <c r="C4" s="2" t="s">
        <v>139</v>
      </c>
      <c r="D4" s="2"/>
    </row>
    <row r="5">
      <c r="A5" s="2" t="s">
        <v>140</v>
      </c>
      <c r="B5" s="9">
        <v>1.49370787377378E14</v>
      </c>
      <c r="C5" s="2" t="s">
        <v>139</v>
      </c>
      <c r="D5" s="2"/>
    </row>
    <row r="6">
      <c r="A6" s="2" t="s">
        <v>120</v>
      </c>
      <c r="B6" s="9" t="s">
        <v>141</v>
      </c>
      <c r="C6" s="2" t="s">
        <v>139</v>
      </c>
      <c r="D6" s="2"/>
    </row>
    <row r="7">
      <c r="A7" s="2" t="s">
        <v>142</v>
      </c>
      <c r="B7" s="9" t="s">
        <v>143</v>
      </c>
      <c r="C7" s="2" t="s">
        <v>139</v>
      </c>
      <c r="D7" s="2"/>
    </row>
    <row r="8">
      <c r="A8" s="2" t="s">
        <v>144</v>
      </c>
      <c r="B8" s="9" t="s">
        <v>145</v>
      </c>
      <c r="C8" s="2" t="s">
        <v>139</v>
      </c>
      <c r="D8" s="2"/>
    </row>
    <row r="9">
      <c r="A9" s="2" t="s">
        <v>40</v>
      </c>
      <c r="B9" s="9" t="s">
        <v>146</v>
      </c>
      <c r="C9" s="2" t="s">
        <v>139</v>
      </c>
      <c r="D9" s="2" t="s">
        <v>147</v>
      </c>
    </row>
    <row r="10">
      <c r="A10" s="2" t="s">
        <v>14</v>
      </c>
      <c r="B10" s="9" t="s">
        <v>148</v>
      </c>
      <c r="C10" s="2" t="s">
        <v>16</v>
      </c>
      <c r="D10" s="2"/>
    </row>
    <row r="11">
      <c r="A11" s="2" t="s">
        <v>17</v>
      </c>
      <c r="B11" s="9" t="s">
        <v>149</v>
      </c>
      <c r="C11" s="2" t="s">
        <v>16</v>
      </c>
      <c r="D11" s="2"/>
    </row>
    <row r="12">
      <c r="A12" s="2" t="s">
        <v>19</v>
      </c>
      <c r="B12" s="9" t="s">
        <v>150</v>
      </c>
      <c r="C12" s="2" t="s">
        <v>16</v>
      </c>
      <c r="D12" s="2"/>
    </row>
    <row r="13">
      <c r="A13" s="2" t="s">
        <v>21</v>
      </c>
      <c r="B13" s="9" t="s">
        <v>22</v>
      </c>
      <c r="C13" s="2" t="s">
        <v>16</v>
      </c>
      <c r="D13" s="2"/>
    </row>
    <row r="15">
      <c r="A15" s="1" t="s">
        <v>23</v>
      </c>
      <c r="B15" s="4" t="s">
        <v>24</v>
      </c>
    </row>
    <row r="16">
      <c r="A16" s="1" t="s">
        <v>25</v>
      </c>
      <c r="D16" s="1"/>
    </row>
    <row r="17">
      <c r="A17" s="5" t="str">
        <f>B15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&amp;"&amp;"&amp;A12&amp;"="&amp;B12&amp;"&amp;"&amp;A13&amp;"="&amp;B13</f>
        <v>https://europe-central2-gtm-txdvwmd-ztyzm.cloudfunctions.net/python-connectors?connector=meta_ads&amp;netpeak_client=C4B&amp;access_token=EAAUTizf8tZBEBO8xSeAoOm7FgHWCNgXTyQUhshxIogzCSKM7KYUrV28N9xm0oVZAofmWvgaeJNBKUFfuZCmI3L43x2aA6mSVKokx2j7xhBZBFk9uV55MeAAFtT7eZCvIfi8qBfO8TCZCFCCLJMZBpLq2iZAqdhOJJSMDwxA5ZBF1gRvJbRxfZAR25FyKhF6rjAQRZC9&amp;account_id=149370787377378&amp;app_id=1428863544244193&amp;app_secret=4c1adc6edd6f8b4ef6c6bf209a44f56e&amp;country=UA&amp;report=campaign_performance&amp;project_id=carsfromwest-1684141040027&amp;dataset_id=Data_raw&amp;table_id=raw_facebook&amp;dataset_location=US</v>
      </c>
      <c r="D17" s="6" t="s">
        <v>151</v>
      </c>
    </row>
    <row r="18" ht="49.5" customHeight="1"/>
  </sheetData>
  <mergeCells count="3">
    <mergeCell ref="A16:C16"/>
    <mergeCell ref="A17:C18"/>
    <mergeCell ref="D17:D18"/>
  </mergeCells>
  <hyperlinks>
    <hyperlink r:id="rId1" ref="B15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152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153</v>
      </c>
      <c r="B4" s="9">
        <v>2.1130960486E10</v>
      </c>
      <c r="C4" s="2" t="s">
        <v>154</v>
      </c>
    </row>
    <row r="5">
      <c r="A5" s="2" t="s">
        <v>137</v>
      </c>
      <c r="B5" s="9" t="s">
        <v>155</v>
      </c>
      <c r="C5" s="2" t="s">
        <v>154</v>
      </c>
    </row>
    <row r="6">
      <c r="A6" s="2" t="s">
        <v>14</v>
      </c>
      <c r="B6" s="9" t="s">
        <v>15</v>
      </c>
      <c r="C6" s="2" t="s">
        <v>16</v>
      </c>
    </row>
    <row r="7">
      <c r="A7" s="2" t="s">
        <v>17</v>
      </c>
      <c r="B7" s="9" t="s">
        <v>18</v>
      </c>
      <c r="C7" s="2" t="s">
        <v>16</v>
      </c>
    </row>
    <row r="8">
      <c r="A8" s="2" t="s">
        <v>19</v>
      </c>
      <c r="B8" s="9" t="s">
        <v>156</v>
      </c>
      <c r="C8" s="2" t="s">
        <v>16</v>
      </c>
    </row>
    <row r="9">
      <c r="A9" s="2" t="s">
        <v>21</v>
      </c>
      <c r="B9" s="9" t="s">
        <v>22</v>
      </c>
      <c r="C9" s="2" t="s">
        <v>16</v>
      </c>
    </row>
    <row r="11">
      <c r="A11" s="1" t="s">
        <v>23</v>
      </c>
      <c r="B11" s="4" t="s">
        <v>24</v>
      </c>
    </row>
    <row r="12">
      <c r="A12" s="1" t="s">
        <v>25</v>
      </c>
    </row>
    <row r="13">
      <c r="A13" s="5" t="str">
        <f>B11&amp;"?"&amp;A2&amp;"="&amp;B2&amp;"&amp;"&amp;A3&amp;"="&amp;B3&amp;"&amp;"&amp;A4&amp;"="&amp;B4&amp;"&amp;"&amp;A5&amp;"="&amp;B5&amp;"&amp;"&amp;A6&amp;"="&amp;B6&amp;"&amp;"&amp;A7&amp;"="&amp;B7&amp;"&amp;"&amp;A8&amp;"="&amp;B8&amp;"&amp;"&amp;A9&amp;"="&amp;B9</f>
        <v>https://europe-central2-gtm-txdvwmd-ztyzm.cloudfunctions.net/python-connectors?connector=tiktok&amp;netpeak_client=Intertop&amp;advertiser_id=21130960486&amp;access_token=ae1596ddcafaba2a&amp;project_id=gtm-txdvwmd-ztyzm&amp;dataset_id=marketing_data&amp;table_id=raw_tiktok&amp;dataset_location=US</v>
      </c>
      <c r="C13" s="6" t="s">
        <v>157</v>
      </c>
    </row>
    <row r="14" ht="49.5" customHeight="1"/>
  </sheetData>
  <mergeCells count="3">
    <mergeCell ref="A12:C12"/>
    <mergeCell ref="A13:B14"/>
    <mergeCell ref="C13:C14"/>
  </mergeCells>
  <hyperlinks>
    <hyperlink r:id="rId1" ref="B1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158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137</v>
      </c>
      <c r="B4" s="9" t="s">
        <v>159</v>
      </c>
      <c r="C4" s="2" t="s">
        <v>160</v>
      </c>
    </row>
    <row r="5">
      <c r="A5" s="2" t="s">
        <v>161</v>
      </c>
      <c r="B5" s="9" t="s">
        <v>162</v>
      </c>
      <c r="C5" s="2" t="s">
        <v>160</v>
      </c>
    </row>
    <row r="6">
      <c r="A6" s="2" t="s">
        <v>14</v>
      </c>
      <c r="B6" s="9" t="s">
        <v>15</v>
      </c>
      <c r="C6" s="2" t="s">
        <v>16</v>
      </c>
    </row>
    <row r="7">
      <c r="A7" s="2" t="s">
        <v>17</v>
      </c>
      <c r="B7" s="9" t="s">
        <v>18</v>
      </c>
      <c r="C7" s="2" t="s">
        <v>16</v>
      </c>
    </row>
    <row r="8">
      <c r="A8" s="2" t="s">
        <v>19</v>
      </c>
      <c r="B8" s="9" t="s">
        <v>163</v>
      </c>
      <c r="C8" s="2" t="s">
        <v>16</v>
      </c>
    </row>
    <row r="9">
      <c r="A9" s="2" t="s">
        <v>21</v>
      </c>
      <c r="B9" s="9" t="s">
        <v>22</v>
      </c>
      <c r="C9" s="2" t="s">
        <v>16</v>
      </c>
    </row>
    <row r="11">
      <c r="A11" s="1" t="s">
        <v>23</v>
      </c>
      <c r="B11" s="4" t="s">
        <v>24</v>
      </c>
    </row>
    <row r="12">
      <c r="A12" s="1" t="s">
        <v>25</v>
      </c>
    </row>
    <row r="13">
      <c r="A13" s="5" t="str">
        <f>B11&amp;"?"&amp;A2&amp;"="&amp;B2&amp;"&amp;"&amp;A3&amp;"="&amp;B3&amp;"&amp;"&amp;A4&amp;"="&amp;B4&amp;"&amp;"&amp;A5&amp;"="&amp;B5&amp;"&amp;"&amp;A6&amp;"="&amp;B6&amp;"&amp;"&amp;A7&amp;"="&amp;B7&amp;"&amp;"&amp;A8&amp;"="&amp;B8&amp;"&amp;"&amp;A9&amp;"="&amp;B9</f>
        <v>https://europe-central2-gtm-txdvwmd-ztyzm.cloudfunctions.net/python-connectors?connector=yandex_direct&amp;netpeak_client=Intertop&amp;access_token=AAAAjOczzAAp1_QAAAADsbTaV&amp;client_login=office-expertkz&amp;project_id=gtm-txdvwmd-ztyzm&amp;dataset_id=marketing_data&amp;table_id=raw_yandex_direct&amp;dataset_location=US</v>
      </c>
      <c r="C13" s="6" t="s">
        <v>164</v>
      </c>
    </row>
    <row r="14" ht="49.5" customHeight="1"/>
  </sheetData>
  <mergeCells count="3">
    <mergeCell ref="A12:C12"/>
    <mergeCell ref="A13:B14"/>
    <mergeCell ref="C13:C14"/>
  </mergeCells>
  <hyperlinks>
    <hyperlink r:id="rId1" ref="B1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4" width="30.63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165</v>
      </c>
      <c r="C2" s="2" t="s">
        <v>38</v>
      </c>
      <c r="D2" s="2"/>
    </row>
    <row r="3">
      <c r="A3" s="2" t="s">
        <v>6</v>
      </c>
      <c r="B3" s="9" t="s">
        <v>7</v>
      </c>
      <c r="C3" s="2" t="s">
        <v>8</v>
      </c>
      <c r="D3" s="2"/>
    </row>
    <row r="4">
      <c r="A4" s="2" t="s">
        <v>166</v>
      </c>
      <c r="B4" s="9" t="s">
        <v>167</v>
      </c>
      <c r="C4" s="2" t="s">
        <v>168</v>
      </c>
      <c r="D4" s="2"/>
    </row>
    <row r="5">
      <c r="A5" s="2" t="s">
        <v>169</v>
      </c>
      <c r="B5" s="9">
        <v>3413423.0</v>
      </c>
      <c r="C5" s="2" t="s">
        <v>170</v>
      </c>
      <c r="D5" s="2"/>
    </row>
    <row r="6">
      <c r="A6" s="2" t="s">
        <v>171</v>
      </c>
      <c r="B6" s="9" t="s">
        <v>172</v>
      </c>
      <c r="C6" s="2" t="s">
        <v>170</v>
      </c>
      <c r="D6" s="2"/>
    </row>
    <row r="7">
      <c r="A7" s="2" t="s">
        <v>40</v>
      </c>
      <c r="B7" s="9" t="s">
        <v>173</v>
      </c>
      <c r="C7" s="2" t="s">
        <v>174</v>
      </c>
      <c r="D7" s="2" t="s">
        <v>175</v>
      </c>
    </row>
    <row r="8">
      <c r="A8" s="2" t="s">
        <v>14</v>
      </c>
      <c r="B8" s="9" t="s">
        <v>15</v>
      </c>
      <c r="C8" s="2" t="s">
        <v>16</v>
      </c>
      <c r="D8" s="2"/>
    </row>
    <row r="9">
      <c r="A9" s="2" t="s">
        <v>17</v>
      </c>
      <c r="B9" s="9" t="s">
        <v>18</v>
      </c>
      <c r="C9" s="2" t="s">
        <v>16</v>
      </c>
      <c r="D9" s="2"/>
    </row>
    <row r="10">
      <c r="A10" s="2" t="s">
        <v>19</v>
      </c>
      <c r="B10" s="9" t="s">
        <v>176</v>
      </c>
      <c r="C10" s="2" t="s">
        <v>16</v>
      </c>
      <c r="D10" s="2"/>
    </row>
    <row r="11">
      <c r="A11" s="2" t="s">
        <v>21</v>
      </c>
      <c r="B11" s="9" t="s">
        <v>22</v>
      </c>
      <c r="C11" s="2" t="s">
        <v>16</v>
      </c>
      <c r="D11" s="2"/>
    </row>
    <row r="13">
      <c r="A13" s="1" t="s">
        <v>23</v>
      </c>
      <c r="B13" s="4" t="s">
        <v>24</v>
      </c>
    </row>
    <row r="14">
      <c r="A14" s="1" t="s">
        <v>25</v>
      </c>
      <c r="D14" s="1"/>
    </row>
    <row r="15">
      <c r="A15" s="5" t="str">
        <f>B13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</f>
        <v>https://europe-central2-gtm-txdvwmd-ztyzm.cloudfunctions.net/python-connectors?connector=google_play&amp;netpeak_client=Intertop&amp;source_project_id=gtm-dsfsdf-sdf&amp;bucket_id=3413423&amp;package_name=AppName&amp;report=installs&amp;project_id=gtm-txdvwmd-ztyzm&amp;dataset_id=marketing_data&amp;table_id=raw_google_play_installs&amp;dataset_location=US</v>
      </c>
      <c r="D15" s="6" t="s">
        <v>177</v>
      </c>
    </row>
  </sheetData>
  <mergeCells count="2">
    <mergeCell ref="A14:C14"/>
    <mergeCell ref="A15:C15"/>
  </mergeCells>
  <hyperlinks>
    <hyperlink r:id="rId1" ref="B1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13"/>
    <col customWidth="1" min="3" max="3" width="30.63"/>
  </cols>
  <sheetData>
    <row r="1">
      <c r="A1" s="1" t="s">
        <v>0</v>
      </c>
      <c r="B1" s="7" t="s">
        <v>1</v>
      </c>
      <c r="C1" s="1" t="s">
        <v>2</v>
      </c>
    </row>
    <row r="2">
      <c r="A2" s="2" t="s">
        <v>3</v>
      </c>
      <c r="B2" s="8" t="s">
        <v>37</v>
      </c>
      <c r="C2" s="2" t="s">
        <v>38</v>
      </c>
    </row>
    <row r="3">
      <c r="A3" s="2" t="s">
        <v>6</v>
      </c>
      <c r="B3" s="9" t="s">
        <v>7</v>
      </c>
      <c r="C3" s="2" t="s">
        <v>8</v>
      </c>
    </row>
    <row r="4">
      <c r="A4" s="2" t="s">
        <v>40</v>
      </c>
      <c r="B4" s="9" t="s">
        <v>178</v>
      </c>
      <c r="C4" s="2" t="s">
        <v>42</v>
      </c>
    </row>
    <row r="5">
      <c r="A5" s="2" t="s">
        <v>28</v>
      </c>
      <c r="B5" s="16" t="s">
        <v>179</v>
      </c>
      <c r="C5" s="2" t="s">
        <v>42</v>
      </c>
    </row>
    <row r="6">
      <c r="A6" s="2" t="s">
        <v>31</v>
      </c>
      <c r="B6" s="9" t="s">
        <v>180</v>
      </c>
      <c r="C6" s="2" t="s">
        <v>42</v>
      </c>
    </row>
    <row r="7">
      <c r="A7" s="2" t="s">
        <v>46</v>
      </c>
      <c r="B7" s="9" t="s">
        <v>181</v>
      </c>
      <c r="C7" s="2" t="s">
        <v>42</v>
      </c>
    </row>
    <row r="8">
      <c r="A8" s="2" t="s">
        <v>48</v>
      </c>
      <c r="B8" s="9">
        <v>2.3232372E7</v>
      </c>
      <c r="C8" s="2" t="s">
        <v>42</v>
      </c>
    </row>
    <row r="9">
      <c r="A9" s="2" t="s">
        <v>49</v>
      </c>
      <c r="B9" s="9">
        <v>6.8364742E7</v>
      </c>
      <c r="C9" s="2" t="s">
        <v>42</v>
      </c>
    </row>
    <row r="10">
      <c r="A10" s="2" t="s">
        <v>50</v>
      </c>
      <c r="B10" s="9" t="s">
        <v>182</v>
      </c>
      <c r="C10" s="2" t="s">
        <v>42</v>
      </c>
    </row>
    <row r="11">
      <c r="A11" s="2" t="s">
        <v>14</v>
      </c>
      <c r="B11" s="9" t="s">
        <v>15</v>
      </c>
      <c r="C11" s="2" t="s">
        <v>16</v>
      </c>
    </row>
    <row r="12">
      <c r="A12" s="2" t="s">
        <v>17</v>
      </c>
      <c r="B12" s="9" t="s">
        <v>18</v>
      </c>
      <c r="C12" s="2" t="s">
        <v>16</v>
      </c>
    </row>
    <row r="13">
      <c r="A13" s="2" t="s">
        <v>19</v>
      </c>
      <c r="B13" s="9" t="s">
        <v>183</v>
      </c>
      <c r="C13" s="2" t="s">
        <v>16</v>
      </c>
    </row>
    <row r="14">
      <c r="A14" s="2" t="s">
        <v>132</v>
      </c>
      <c r="B14" s="9" t="s">
        <v>22</v>
      </c>
      <c r="C14" s="2" t="s">
        <v>16</v>
      </c>
    </row>
    <row r="15">
      <c r="A15" s="2"/>
      <c r="B15" s="8"/>
      <c r="C15" s="2"/>
    </row>
    <row r="16">
      <c r="B16" s="10"/>
    </row>
    <row r="18">
      <c r="A18" s="1" t="s">
        <v>23</v>
      </c>
      <c r="B18" s="17" t="s">
        <v>184</v>
      </c>
    </row>
    <row r="19">
      <c r="A19" s="1" t="s">
        <v>25</v>
      </c>
    </row>
    <row r="20">
      <c r="A20" s="5" t="str">
        <f>B18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&amp;"&amp;"&amp;A11&amp;"="&amp;B11&amp;"&amp;"&amp;A12&amp;"="&amp;B12&amp;"&amp;"&amp;A13&amp;"="&amp;B13&amp;"&amp;"&amp;A14&amp;"="&amp;B14&amp;"&amp;"&amp;A15&amp;"="&amp;B15&amp;"&amp;"&amp;A16&amp;"="&amp;B16</f>
        <v>https://us-central1-gtm-txdvwmd-ztyzm.cloudfunctions.net/python-connectors?connector=google_ads&amp;netpeak_client=Intertop&amp;report=click_view&amp;client_id=1413m1.apps.googleusercontent.com&amp;client_secret=PX-OaJQ25UTHQ-iaKQ&amp;developer_token=F52_XLeRI0XpF3_g&amp;customer_id=23232372&amp;login_customer_id=68364742&amp;refresh_token=1//04enFZKKj5CgYIARAAGAQSNwF-L9Ir8Gsn&amp;project_id=gtm-txdvwmd-ztyzm&amp;dataset_id=marketing_data&amp;table_id=raw_gads_click_view&amp;dataset_location*=US&amp;=&amp;=</v>
      </c>
    </row>
    <row r="21" ht="49.5" customHeight="1"/>
  </sheetData>
  <mergeCells count="2">
    <mergeCell ref="A19:C19"/>
    <mergeCell ref="A20:C21"/>
  </mergeCells>
  <hyperlinks>
    <hyperlink r:id="rId1" ref="B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6.0"/>
    <col customWidth="1" min="3" max="3" width="30.63"/>
    <col customWidth="1" min="4" max="4" width="46.5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185</v>
      </c>
      <c r="C2" s="2" t="s">
        <v>38</v>
      </c>
      <c r="D2" s="2"/>
    </row>
    <row r="3">
      <c r="A3" s="2" t="s">
        <v>6</v>
      </c>
      <c r="B3" s="9" t="s">
        <v>91</v>
      </c>
      <c r="C3" s="2" t="s">
        <v>8</v>
      </c>
      <c r="D3" s="2"/>
    </row>
    <row r="4">
      <c r="A4" s="2" t="s">
        <v>186</v>
      </c>
      <c r="B4" s="9">
        <v>3.40241924E8</v>
      </c>
      <c r="C4" s="2" t="s">
        <v>187</v>
      </c>
      <c r="D4" s="2"/>
    </row>
    <row r="5">
      <c r="A5" s="2" t="s">
        <v>188</v>
      </c>
      <c r="B5" s="9" t="s">
        <v>189</v>
      </c>
      <c r="C5" s="18" t="s">
        <v>190</v>
      </c>
      <c r="D5" s="19" t="s">
        <v>191</v>
      </c>
    </row>
    <row r="6">
      <c r="A6" s="2" t="s">
        <v>192</v>
      </c>
      <c r="B6" s="9" t="s">
        <v>193</v>
      </c>
      <c r="C6" s="2" t="s">
        <v>194</v>
      </c>
      <c r="D6" s="2"/>
    </row>
    <row r="7">
      <c r="A7" s="2" t="s">
        <v>195</v>
      </c>
      <c r="B7" s="9"/>
      <c r="C7" s="2" t="s">
        <v>196</v>
      </c>
      <c r="D7" s="2" t="s">
        <v>197</v>
      </c>
    </row>
    <row r="8">
      <c r="A8" s="2" t="s">
        <v>198</v>
      </c>
      <c r="B8" s="9" t="s">
        <v>199</v>
      </c>
      <c r="C8" s="2" t="s">
        <v>196</v>
      </c>
      <c r="D8" s="2" t="s">
        <v>200</v>
      </c>
    </row>
    <row r="9">
      <c r="A9" s="2" t="s">
        <v>14</v>
      </c>
      <c r="B9" s="9" t="s">
        <v>15</v>
      </c>
      <c r="C9" s="2" t="s">
        <v>16</v>
      </c>
      <c r="D9" s="2"/>
    </row>
    <row r="10">
      <c r="A10" s="2" t="s">
        <v>17</v>
      </c>
      <c r="B10" s="9" t="s">
        <v>201</v>
      </c>
      <c r="C10" s="2" t="s">
        <v>16</v>
      </c>
      <c r="D10" s="2"/>
    </row>
    <row r="11">
      <c r="A11" s="2" t="s">
        <v>19</v>
      </c>
      <c r="B11" s="9" t="s">
        <v>202</v>
      </c>
      <c r="C11" s="2" t="s">
        <v>16</v>
      </c>
      <c r="D11" s="2"/>
    </row>
    <row r="12">
      <c r="A12" s="2" t="s">
        <v>21</v>
      </c>
      <c r="B12" s="9" t="s">
        <v>54</v>
      </c>
      <c r="C12" s="2" t="s">
        <v>16</v>
      </c>
      <c r="D12" s="2"/>
    </row>
    <row r="13">
      <c r="D13" s="20" t="s">
        <v>203</v>
      </c>
    </row>
    <row r="14">
      <c r="A14" s="1" t="s">
        <v>23</v>
      </c>
      <c r="B14" s="4" t="s">
        <v>204</v>
      </c>
    </row>
    <row r="15">
      <c r="A15" s="1" t="s">
        <v>25</v>
      </c>
      <c r="D15" s="1"/>
    </row>
    <row r="16">
      <c r="A16" s="5" t="str">
        <f>B14&amp;"?"&amp;A2&amp;"="&amp;B2&amp;"&amp;"&amp;A3&amp;"="&amp;B3&amp;"&amp;"&amp;A4&amp;"="&amp;B4&amp;"&amp;"&amp;A5&amp;"="&amp;B5&amp;"&amp;"&amp;A6&amp;"="&amp;B6&amp;"&amp;"&amp;A7&amp;"="&amp;B7&amp;"&amp;"&amp;A8&amp;"="&amp;ENCODEURL(B8)&amp;"&amp;"&amp;A9&amp;"="&amp;B9&amp;"&amp;"&amp;A10&amp;"="&amp;B10&amp;"&amp;"&amp;A11&amp;"="&amp;B11&amp;"&amp;"&amp;A12&amp;"="&amp;B12</f>
        <v>https://europe-central2-etl-netpeak.cloudfunctions.net/python-connectors-eu?connector=google_analytics_4&amp;netpeak_client=Easyvending&amp;property_id=340241924&amp;dimensions=date,defaultChannelGrouping,platform,eventName&amp;metrics=sessions,totalUsers,keyEvents,activeUsers&amp;selected_events=&amp;selected_source_medium=google%20%2F%20organic&amp;project_id=gtm-txdvwmd-ztyzm&amp;dataset_id=airbyte&amp;table_id=raw_ga4_report_fun&amp;dataset_location=EU</v>
      </c>
      <c r="D16" s="6" t="s">
        <v>205</v>
      </c>
    </row>
  </sheetData>
  <mergeCells count="3">
    <mergeCell ref="D13:D14"/>
    <mergeCell ref="A15:C15"/>
    <mergeCell ref="A16:C16"/>
  </mergeCells>
  <hyperlinks>
    <hyperlink r:id="rId1" ref="D5"/>
    <hyperlink r:id="rId2" ref="D13"/>
    <hyperlink r:id="rId3" ref="B14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6.0"/>
    <col customWidth="1" min="3" max="3" width="30.63"/>
    <col customWidth="1" min="4" max="4" width="66.5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206</v>
      </c>
      <c r="C2" s="2" t="s">
        <v>38</v>
      </c>
      <c r="D2" s="2"/>
    </row>
    <row r="3">
      <c r="A3" s="2" t="s">
        <v>6</v>
      </c>
      <c r="B3" s="9" t="s">
        <v>7</v>
      </c>
      <c r="C3" s="2" t="s">
        <v>8</v>
      </c>
      <c r="D3" s="2"/>
    </row>
    <row r="4">
      <c r="A4" s="2" t="s">
        <v>28</v>
      </c>
      <c r="B4" s="9" t="s">
        <v>207</v>
      </c>
      <c r="C4" s="2" t="s">
        <v>208</v>
      </c>
      <c r="D4" s="2"/>
    </row>
    <row r="5">
      <c r="A5" s="2" t="s">
        <v>31</v>
      </c>
      <c r="B5" s="9" t="s">
        <v>209</v>
      </c>
      <c r="C5" s="2" t="s">
        <v>208</v>
      </c>
      <c r="D5" s="21"/>
    </row>
    <row r="6">
      <c r="A6" s="2" t="s">
        <v>153</v>
      </c>
      <c r="B6" s="9">
        <v>97841.0</v>
      </c>
      <c r="C6" s="2" t="s">
        <v>208</v>
      </c>
      <c r="D6" s="2"/>
    </row>
    <row r="7">
      <c r="A7" s="2" t="s">
        <v>90</v>
      </c>
      <c r="B7" s="9" t="s">
        <v>210</v>
      </c>
      <c r="C7" s="2" t="s">
        <v>208</v>
      </c>
      <c r="D7" s="2" t="s">
        <v>211</v>
      </c>
    </row>
    <row r="8">
      <c r="A8" s="2" t="s">
        <v>40</v>
      </c>
      <c r="B8" s="9" t="s">
        <v>212</v>
      </c>
      <c r="C8" s="2" t="s">
        <v>208</v>
      </c>
      <c r="D8" s="2" t="s">
        <v>213</v>
      </c>
    </row>
    <row r="9">
      <c r="A9" s="2" t="s">
        <v>214</v>
      </c>
      <c r="B9" s="9" t="s">
        <v>215</v>
      </c>
      <c r="C9" s="2" t="s">
        <v>208</v>
      </c>
      <c r="D9" s="22" t="s">
        <v>216</v>
      </c>
    </row>
    <row r="10">
      <c r="A10" s="2" t="s">
        <v>14</v>
      </c>
      <c r="B10" s="9" t="s">
        <v>15</v>
      </c>
      <c r="C10" s="2" t="s">
        <v>16</v>
      </c>
      <c r="D10" s="2"/>
    </row>
    <row r="11">
      <c r="A11" s="2" t="s">
        <v>17</v>
      </c>
      <c r="B11" s="9" t="s">
        <v>18</v>
      </c>
      <c r="C11" s="2" t="s">
        <v>16</v>
      </c>
      <c r="D11" s="2"/>
    </row>
    <row r="12">
      <c r="A12" s="2" t="s">
        <v>19</v>
      </c>
      <c r="B12" s="9" t="s">
        <v>217</v>
      </c>
      <c r="C12" s="2" t="s">
        <v>16</v>
      </c>
      <c r="D12" s="2"/>
    </row>
    <row r="13">
      <c r="A13" s="2" t="s">
        <v>21</v>
      </c>
      <c r="B13" s="9" t="s">
        <v>54</v>
      </c>
      <c r="C13" s="2" t="s">
        <v>16</v>
      </c>
      <c r="D13" s="2"/>
    </row>
    <row r="14">
      <c r="D14" s="23"/>
    </row>
    <row r="15">
      <c r="A15" s="1" t="s">
        <v>23</v>
      </c>
      <c r="B15" s="14" t="s">
        <v>24</v>
      </c>
    </row>
    <row r="16">
      <c r="A16" s="1" t="s">
        <v>25</v>
      </c>
      <c r="D16" s="1"/>
    </row>
    <row r="17">
      <c r="A17" s="5" t="str">
        <f>B15&amp;"?"&amp;A2&amp;"="&amp;B2&amp;"&amp;"&amp;A3&amp;"="&amp;B3&amp;"&amp;"&amp;A4&amp;"="&amp;B4&amp;"&amp;"&amp;A5&amp;"="&amp;B5&amp;"&amp;"&amp;"&amp;"&amp;A6&amp;"="&amp;B6&amp;"&amp;"&amp;A8&amp;"="&amp;B8&amp;"&amp;"&amp;IF(B8="placement_report", A9&amp;"="&amp;B9&amp;"&amp;", "")&amp;"&amp;"&amp;A10&amp;"="&amp;B10&amp;"&amp;"&amp;A11&amp;"="&amp;B11&amp;"&amp;"&amp;A12&amp;"="&amp;B12&amp;"&amp;"&amp;A13&amp;"="&amp;B13
</f>
        <v>https://europe-central2-gtm-txdvwmd-ztyzm.cloudfunctions.net/python-connectors?connector=criteo&amp;netpeak_client=Intertop&amp;client_id=38851a315f294be6af28c6dab1181034&amp;client_secret=mRdk6WbZvjxxniBWY9MpXaPYi8jEu97ZTYcy8FJ2QsIl&amp;&amp;advertiser_id=97841&amp;report=statistics&amp;&amp;project_id=gtm-txdvwmd-ztyzm&amp;dataset_id=marketing_data&amp;table_id=raw_criteo_statistics&amp;dataset_location=EU</v>
      </c>
      <c r="D17" s="6" t="s">
        <v>218</v>
      </c>
    </row>
  </sheetData>
  <mergeCells count="3">
    <mergeCell ref="D14:D15"/>
    <mergeCell ref="A16:C16"/>
    <mergeCell ref="A17:C17"/>
  </mergeCells>
  <hyperlinks>
    <hyperlink r:id="rId1" ref="B15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6.0"/>
    <col customWidth="1" min="3" max="3" width="30.63"/>
    <col customWidth="1" min="4" max="4" width="29.88"/>
  </cols>
  <sheetData>
    <row r="1">
      <c r="A1" s="1" t="s">
        <v>0</v>
      </c>
      <c r="B1" s="7" t="s">
        <v>1</v>
      </c>
      <c r="C1" s="1" t="s">
        <v>2</v>
      </c>
      <c r="D1" s="1" t="s">
        <v>36</v>
      </c>
    </row>
    <row r="2">
      <c r="A2" s="2" t="s">
        <v>3</v>
      </c>
      <c r="B2" s="8" t="s">
        <v>185</v>
      </c>
      <c r="C2" s="2" t="s">
        <v>38</v>
      </c>
      <c r="D2" s="2"/>
    </row>
    <row r="3">
      <c r="A3" s="2" t="s">
        <v>6</v>
      </c>
      <c r="B3" s="9" t="s">
        <v>219</v>
      </c>
      <c r="C3" s="2" t="s">
        <v>8</v>
      </c>
      <c r="D3" s="2"/>
    </row>
    <row r="4">
      <c r="A4" s="2" t="s">
        <v>186</v>
      </c>
      <c r="B4" s="9">
        <v>3.10520635E8</v>
      </c>
      <c r="C4" s="2" t="s">
        <v>187</v>
      </c>
      <c r="D4" s="2"/>
    </row>
    <row r="5">
      <c r="A5" s="2" t="s">
        <v>188</v>
      </c>
      <c r="B5" s="9" t="s">
        <v>220</v>
      </c>
      <c r="C5" s="18" t="s">
        <v>190</v>
      </c>
      <c r="D5" s="19" t="s">
        <v>191</v>
      </c>
    </row>
    <row r="6">
      <c r="A6" s="2" t="s">
        <v>192</v>
      </c>
      <c r="B6" s="9" t="s">
        <v>221</v>
      </c>
      <c r="C6" s="2" t="s">
        <v>194</v>
      </c>
      <c r="D6" s="2"/>
    </row>
    <row r="7">
      <c r="A7" s="2" t="s">
        <v>14</v>
      </c>
      <c r="B7" s="9" t="s">
        <v>222</v>
      </c>
      <c r="C7" s="2" t="s">
        <v>16</v>
      </c>
      <c r="D7" s="2"/>
    </row>
    <row r="8">
      <c r="A8" s="2" t="s">
        <v>17</v>
      </c>
      <c r="B8" s="9" t="s">
        <v>223</v>
      </c>
      <c r="C8" s="2" t="s">
        <v>16</v>
      </c>
      <c r="D8" s="2"/>
    </row>
    <row r="9">
      <c r="A9" s="2" t="s">
        <v>19</v>
      </c>
      <c r="B9" s="9" t="s">
        <v>224</v>
      </c>
      <c r="C9" s="2" t="s">
        <v>16</v>
      </c>
      <c r="D9" s="2"/>
    </row>
    <row r="10">
      <c r="A10" s="2" t="s">
        <v>21</v>
      </c>
      <c r="B10" s="9" t="s">
        <v>225</v>
      </c>
      <c r="C10" s="2" t="s">
        <v>16</v>
      </c>
      <c r="D10" s="2"/>
    </row>
    <row r="11">
      <c r="D11" s="20" t="s">
        <v>203</v>
      </c>
    </row>
    <row r="12">
      <c r="A12" s="1" t="s">
        <v>23</v>
      </c>
      <c r="B12" s="12" t="s">
        <v>226</v>
      </c>
    </row>
    <row r="13">
      <c r="A13" s="1" t="s">
        <v>25</v>
      </c>
      <c r="D13" s="1"/>
    </row>
    <row r="14">
      <c r="A14" s="5" t="str">
        <f>B12&amp;"?"&amp;A2&amp;"="&amp;B2&amp;"&amp;"&amp;A3&amp;"="&amp;B3&amp;"&amp;"&amp;A4&amp;"="&amp;B4&amp;"&amp;"&amp;A5&amp;"="&amp;B5&amp;"&amp;"&amp;A6&amp;"="&amp;B6&amp;"&amp;"&amp;A7&amp;"="&amp;B7&amp;"&amp;"&amp;A8&amp;"="&amp;B8&amp;"&amp;"&amp;A9&amp;"="&amp;B9&amp;"&amp;"&amp;A10&amp;"="&amp;B10</f>
        <v>https://europe-central2-aquapolisua-209010.cloudfunctions.net/python-connectors?connector=google_analytics_4&amp;netpeak_client=aquapolis&amp;property_id=310520635&amp;dimensions=date,sessionSourceMedium&amp;metrics=transactions,totalUsers,sessions,eventCount&amp;project_id=aquapolisua-209010&amp;dataset_id=raw_data&amp;table_id=ga4_report&amp;dataset_location=europe-central2</v>
      </c>
      <c r="D14" s="6" t="s">
        <v>227</v>
      </c>
    </row>
  </sheetData>
  <mergeCells count="3">
    <mergeCell ref="D11:D12"/>
    <mergeCell ref="A13:C13"/>
    <mergeCell ref="A14:C14"/>
  </mergeCells>
  <hyperlinks>
    <hyperlink r:id="rId1" ref="D5"/>
    <hyperlink r:id="rId2" ref="D11"/>
    <hyperlink r:id="rId3" ref="B12"/>
  </hyperlinks>
  <drawing r:id="rId4"/>
</worksheet>
</file>